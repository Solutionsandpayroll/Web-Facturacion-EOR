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26" documentId="8_{ECF7A968-E7E3-46BF-9181-BC17E1DB9E49}" xr6:coauthVersionLast="47" xr6:coauthVersionMax="47" xr10:uidLastSave="{19FD897E-3719-4800-9225-9C887D519D1B}"/>
  <bookViews>
    <workbookView xWindow="-120" yWindow="-120" windowWidth="20730" windowHeight="11040" xr2:uid="{00000000-000D-0000-FFFF-FFFF00000000}"/>
  </bookViews>
  <sheets>
    <sheet name="INVOICING" sheetId="2" r:id="rId1"/>
  </sheets>
  <definedNames>
    <definedName name="_xlnm._FilterDatabase" localSheetId="0" hidden="1">INVOICING!$A$3:$CA$3</definedName>
    <definedName name="_xlnm._FilterDatabase">INVOICING!$A$3:$AD$3,INVOICING!$AF$3:$AM$3,INVOICING!$AO$3:$AT$3,INVOICING!$AV$3:$BB$3,INVOICING!$BD$3:$BQ$3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8" i="2" l="1"/>
  <c r="BA24" i="2"/>
  <c r="AZ24" i="2"/>
  <c r="AY24" i="2"/>
  <c r="AX24" i="2"/>
  <c r="AW24" i="2"/>
  <c r="AV24" i="2"/>
  <c r="AR24" i="2"/>
  <c r="AQ24" i="2"/>
  <c r="AP24" i="2"/>
  <c r="AL24" i="2"/>
  <c r="AK24" i="2"/>
  <c r="AJ24" i="2"/>
  <c r="AI24" i="2"/>
  <c r="AH24" i="2"/>
  <c r="AG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F23" i="2"/>
  <c r="BB23" i="2"/>
  <c r="AS23" i="2"/>
  <c r="AM23" i="2"/>
  <c r="AT23" i="2" s="1"/>
  <c r="AD23" i="2"/>
  <c r="BF22" i="2"/>
  <c r="BB22" i="2"/>
  <c r="AS22" i="2"/>
  <c r="AM22" i="2"/>
  <c r="AT22" i="2" s="1"/>
  <c r="AD22" i="2"/>
  <c r="BF21" i="2"/>
  <c r="BB21" i="2"/>
  <c r="AS21" i="2"/>
  <c r="AM21" i="2"/>
  <c r="AT21" i="2" s="1"/>
  <c r="AD21" i="2"/>
  <c r="BF20" i="2"/>
  <c r="BB20" i="2"/>
  <c r="AS20" i="2"/>
  <c r="AM20" i="2"/>
  <c r="AT20" i="2" s="1"/>
  <c r="AD20" i="2"/>
  <c r="BF19" i="2"/>
  <c r="BB19" i="2"/>
  <c r="AS19" i="2"/>
  <c r="AM19" i="2"/>
  <c r="AT19" i="2" s="1"/>
  <c r="AD19" i="2"/>
  <c r="BF18" i="2"/>
  <c r="BB18" i="2"/>
  <c r="AS18" i="2"/>
  <c r="AM18" i="2"/>
  <c r="AT18" i="2" s="1"/>
  <c r="AD18" i="2"/>
  <c r="BF17" i="2"/>
  <c r="BB17" i="2"/>
  <c r="AS17" i="2"/>
  <c r="AM17" i="2"/>
  <c r="AT17" i="2" s="1"/>
  <c r="AD17" i="2"/>
  <c r="BF16" i="2"/>
  <c r="BB16" i="2"/>
  <c r="AS16" i="2"/>
  <c r="AM16" i="2"/>
  <c r="AT16" i="2" s="1"/>
  <c r="AD16" i="2"/>
  <c r="BF15" i="2"/>
  <c r="BB15" i="2"/>
  <c r="AS15" i="2"/>
  <c r="AM15" i="2"/>
  <c r="AT15" i="2" s="1"/>
  <c r="AD15" i="2"/>
  <c r="BL14" i="2"/>
  <c r="BH14" i="2"/>
  <c r="BM14" i="2" s="1"/>
  <c r="BF14" i="2"/>
  <c r="BB14" i="2"/>
  <c r="AS14" i="2"/>
  <c r="AM14" i="2"/>
  <c r="AT14" i="2" s="1"/>
  <c r="AD14" i="2"/>
  <c r="BF13" i="2"/>
  <c r="BB13" i="2"/>
  <c r="AS13" i="2"/>
  <c r="AM13" i="2"/>
  <c r="AT13" i="2" s="1"/>
  <c r="AD13" i="2"/>
  <c r="BF12" i="2"/>
  <c r="BB12" i="2"/>
  <c r="AS12" i="2"/>
  <c r="AM12" i="2"/>
  <c r="AT12" i="2" s="1"/>
  <c r="AD12" i="2"/>
  <c r="BF11" i="2"/>
  <c r="BB11" i="2"/>
  <c r="AS11" i="2"/>
  <c r="AM11" i="2"/>
  <c r="AT11" i="2" s="1"/>
  <c r="AD11" i="2"/>
  <c r="BF10" i="2"/>
  <c r="BB10" i="2"/>
  <c r="AS10" i="2"/>
  <c r="AM10" i="2"/>
  <c r="AT10" i="2" s="1"/>
  <c r="AD10" i="2"/>
  <c r="BF9" i="2"/>
  <c r="BB9" i="2"/>
  <c r="AS9" i="2"/>
  <c r="AM9" i="2"/>
  <c r="AT9" i="2" s="1"/>
  <c r="AD9" i="2"/>
  <c r="BF8" i="2"/>
  <c r="BB8" i="2"/>
  <c r="AS8" i="2"/>
  <c r="AM8" i="2"/>
  <c r="AT8" i="2" s="1"/>
  <c r="AD8" i="2"/>
  <c r="BF7" i="2"/>
  <c r="BB7" i="2"/>
  <c r="AS7" i="2"/>
  <c r="AM7" i="2"/>
  <c r="AT7" i="2" s="1"/>
  <c r="AD7" i="2"/>
  <c r="BF6" i="2"/>
  <c r="BB6" i="2"/>
  <c r="AS6" i="2"/>
  <c r="AM6" i="2"/>
  <c r="AT6" i="2" s="1"/>
  <c r="AD6" i="2"/>
  <c r="BF5" i="2"/>
  <c r="BB5" i="2"/>
  <c r="AS5" i="2"/>
  <c r="AM5" i="2"/>
  <c r="AT5" i="2" s="1"/>
  <c r="AD5" i="2"/>
  <c r="BF4" i="2"/>
  <c r="BB4" i="2"/>
  <c r="BB24" i="2" s="1"/>
  <c r="AS4" i="2"/>
  <c r="AS24" i="2" s="1"/>
  <c r="AM4" i="2"/>
  <c r="AD4" i="2"/>
  <c r="BH23" i="2" l="1"/>
  <c r="BM23" i="2" s="1"/>
  <c r="BL23" i="2"/>
  <c r="BG23" i="2"/>
  <c r="BE23" i="2" s="1"/>
  <c r="BL22" i="2"/>
  <c r="BH22" i="2"/>
  <c r="BM22" i="2" s="1"/>
  <c r="BG22" i="2"/>
  <c r="BE22" i="2" s="1"/>
  <c r="BL21" i="2"/>
  <c r="BH21" i="2"/>
  <c r="BM21" i="2" s="1"/>
  <c r="BG21" i="2"/>
  <c r="BE21" i="2"/>
  <c r="BL20" i="2"/>
  <c r="BH20" i="2"/>
  <c r="BM20" i="2" s="1"/>
  <c r="BG20" i="2"/>
  <c r="BE20" i="2" s="1"/>
  <c r="BL19" i="2"/>
  <c r="BH19" i="2"/>
  <c r="BM19" i="2" s="1"/>
  <c r="BG19" i="2"/>
  <c r="BE19" i="2"/>
  <c r="BL18" i="2"/>
  <c r="BH18" i="2"/>
  <c r="BM18" i="2" s="1"/>
  <c r="BG18" i="2"/>
  <c r="BE18" i="2"/>
  <c r="BL17" i="2"/>
  <c r="BH17" i="2"/>
  <c r="BM17" i="2" s="1"/>
  <c r="BG17" i="2"/>
  <c r="BE17" i="2"/>
  <c r="BH16" i="2"/>
  <c r="BM16" i="2" s="1"/>
  <c r="BL16" i="2"/>
  <c r="BG16" i="2"/>
  <c r="BE16" i="2"/>
  <c r="BH15" i="2"/>
  <c r="BM15" i="2" s="1"/>
  <c r="BL15" i="2"/>
  <c r="BG15" i="2"/>
  <c r="BE15" i="2"/>
  <c r="BG14" i="2"/>
  <c r="BE14" i="2" s="1"/>
  <c r="BH13" i="2"/>
  <c r="BM13" i="2" s="1"/>
  <c r="BL13" i="2"/>
  <c r="BG13" i="2"/>
  <c r="BE13" i="2"/>
  <c r="BH12" i="2"/>
  <c r="BM12" i="2" s="1"/>
  <c r="BL12" i="2"/>
  <c r="BG12" i="2"/>
  <c r="BE12" i="2"/>
  <c r="BL11" i="2"/>
  <c r="BH11" i="2"/>
  <c r="BM11" i="2" s="1"/>
  <c r="BG11" i="2"/>
  <c r="BE11" i="2"/>
  <c r="BL10" i="2"/>
  <c r="BH10" i="2"/>
  <c r="BM10" i="2" s="1"/>
  <c r="BG10" i="2"/>
  <c r="BE10" i="2"/>
  <c r="BH9" i="2"/>
  <c r="BM9" i="2" s="1"/>
  <c r="BL9" i="2"/>
  <c r="BG9" i="2"/>
  <c r="BE9" i="2" s="1"/>
  <c r="BH8" i="2"/>
  <c r="BM8" i="2" s="1"/>
  <c r="BL8" i="2"/>
  <c r="BG8" i="2"/>
  <c r="BE8" i="2" s="1"/>
  <c r="BL7" i="2"/>
  <c r="BH7" i="2"/>
  <c r="BM7" i="2" s="1"/>
  <c r="BG7" i="2"/>
  <c r="BE7" i="2"/>
  <c r="BL6" i="2"/>
  <c r="BH6" i="2"/>
  <c r="BM6" i="2" s="1"/>
  <c r="BG6" i="2"/>
  <c r="BE6" i="2" s="1"/>
  <c r="BL5" i="2"/>
  <c r="BH5" i="2"/>
  <c r="BM5" i="2" s="1"/>
  <c r="BG5" i="2"/>
  <c r="BE5" i="2"/>
  <c r="BL4" i="2"/>
  <c r="BH4" i="2"/>
  <c r="BF24" i="2"/>
  <c r="AM24" i="2"/>
  <c r="AT4" i="2"/>
  <c r="AT24" i="2" s="1"/>
  <c r="BG4" i="2"/>
  <c r="AD24" i="2"/>
  <c r="BE4" i="2"/>
  <c r="BI23" i="2" l="1"/>
  <c r="BK23" i="2"/>
  <c r="BN23" i="2" s="1"/>
  <c r="BI22" i="2"/>
  <c r="BK22" i="2"/>
  <c r="BN22" i="2" s="1"/>
  <c r="BI21" i="2"/>
  <c r="BK21" i="2"/>
  <c r="BN21" i="2" s="1"/>
  <c r="BI20" i="2"/>
  <c r="BK20" i="2"/>
  <c r="BN20" i="2" s="1"/>
  <c r="BI19" i="2"/>
  <c r="BK19" i="2"/>
  <c r="BN19" i="2" s="1"/>
  <c r="BI18" i="2"/>
  <c r="BK18" i="2"/>
  <c r="BN18" i="2" s="1"/>
  <c r="BI17" i="2"/>
  <c r="BK17" i="2"/>
  <c r="BN17" i="2" s="1"/>
  <c r="BI16" i="2"/>
  <c r="BK16" i="2"/>
  <c r="BN16" i="2" s="1"/>
  <c r="BI15" i="2"/>
  <c r="BK15" i="2"/>
  <c r="BN15" i="2" s="1"/>
  <c r="BI14" i="2"/>
  <c r="BK14" i="2"/>
  <c r="BN14" i="2" s="1"/>
  <c r="BI13" i="2"/>
  <c r="BK13" i="2"/>
  <c r="BN13" i="2" s="1"/>
  <c r="BI12" i="2"/>
  <c r="BK12" i="2"/>
  <c r="BN12" i="2" s="1"/>
  <c r="BI11" i="2"/>
  <c r="BK11" i="2"/>
  <c r="BN11" i="2" s="1"/>
  <c r="BI10" i="2"/>
  <c r="BK10" i="2"/>
  <c r="BN10" i="2" s="1"/>
  <c r="BI9" i="2"/>
  <c r="BK9" i="2"/>
  <c r="BN9" i="2" s="1"/>
  <c r="BI8" i="2"/>
  <c r="BK8" i="2"/>
  <c r="BN8" i="2" s="1"/>
  <c r="BI7" i="2"/>
  <c r="BK7" i="2"/>
  <c r="BN7" i="2" s="1"/>
  <c r="BI6" i="2"/>
  <c r="BK6" i="2"/>
  <c r="BN6" i="2" s="1"/>
  <c r="BI5" i="2"/>
  <c r="BK5" i="2"/>
  <c r="BN5" i="2" s="1"/>
  <c r="BM4" i="2"/>
  <c r="BM24" i="2" s="1"/>
  <c r="BH24" i="2"/>
  <c r="BO2" i="2"/>
  <c r="BI4" i="2"/>
  <c r="BK4" i="2"/>
  <c r="BE24" i="2"/>
  <c r="BL24" i="2"/>
  <c r="BG24" i="2"/>
  <c r="BN4" i="2" l="1"/>
  <c r="BN24" i="2" s="1"/>
  <c r="BK24" i="2"/>
  <c r="BI24" i="2"/>
</calcChain>
</file>

<file path=xl/sharedStrings.xml><?xml version="1.0" encoding="utf-8"?>
<sst xmlns="http://schemas.openxmlformats.org/spreadsheetml/2006/main" count="192" uniqueCount="111">
  <si>
    <t>COST REPORT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</si>
  <si>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</si>
  <si>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</si>
  <si>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</si>
  <si>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</si>
  <si>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</si>
  <si>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</si>
  <si>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</si>
  <si>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</si>
  <si>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</si>
  <si>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</si>
  <si>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</si>
  <si>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</si>
  <si>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</si>
  <si>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</si>
  <si>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</si>
  <si>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</si>
  <si>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</si>
  <si>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</si>
  <si>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</si>
  <si>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</si>
  <si>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</si>
  <si>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</si>
  <si>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</si>
  <si>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</si>
  <si>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</si>
  <si>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</si>
  <si>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</si>
  <si>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</si>
  <si>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</si>
  <si>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</si>
  <si>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</si>
  <si>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</si>
  <si>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</si>
  <si>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</si>
  <si>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</si>
  <si>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</si>
  <si>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</si>
  <si>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</si>
  <si>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</si>
  <si>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</si>
  <si>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</si>
  <si>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</si>
  <si>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</si>
  <si>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</si>
  <si>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</si>
  <si>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</si>
  <si>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</si>
  <si>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</si>
  <si>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LEAVE PAID REFOUND</t>
  </si>
  <si>
    <t>PARKING COST</t>
  </si>
  <si>
    <t>SENA QUOTE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</si>
  <si>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</si>
  <si>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</si>
  <si>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</si>
  <si>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</si>
  <si>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</si>
  <si>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</si>
  <si>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</si>
  <si>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</si>
  <si>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</si>
  <si>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</si>
  <si>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</si>
  <si>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</si>
  <si>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1033719121</t>
  </si>
  <si>
    <t>BARAJAS GUTIÉRREZ OSCAR ANDRÉS</t>
  </si>
  <si>
    <t>active</t>
  </si>
  <si>
    <t>Colombia</t>
  </si>
  <si>
    <t>September</t>
  </si>
  <si>
    <t>Monthly Payroll</t>
  </si>
  <si>
    <t>1000514158</t>
  </si>
  <si>
    <t>BECERRA SALAZAR VALENTINA</t>
  </si>
  <si>
    <t>1192923781</t>
  </si>
  <si>
    <t>CUASQUER HERRERA RAFAEL ANDRES</t>
  </si>
  <si>
    <t>1032500027</t>
  </si>
  <si>
    <t>0</t>
  </si>
  <si>
    <t>CUERVO VILLANUEVA SONIA ALEJANDRA</t>
  </si>
  <si>
    <t>1005944954</t>
  </si>
  <si>
    <t>DELGADO HENAO CARLOS FERNANDO</t>
  </si>
  <si>
    <t>1006959914</t>
  </si>
  <si>
    <t>EIBNER SCHORR KATRIN NICOLE</t>
  </si>
  <si>
    <t>1072714063</t>
  </si>
  <si>
    <t>EIBNER SCHORR PHILIPP</t>
  </si>
  <si>
    <t>986363</t>
  </si>
  <si>
    <t>FISCHER  MARC</t>
  </si>
  <si>
    <t>13544950</t>
  </si>
  <si>
    <t>GONZALEZ ACEVEDO JUAN PABLO</t>
  </si>
  <si>
    <t>91354338</t>
  </si>
  <si>
    <t>GUALDRON DIAZ CRISTIAN DARIO</t>
  </si>
  <si>
    <t>462782</t>
  </si>
  <si>
    <t>KROLL  GREGOR</t>
  </si>
  <si>
    <t>8299328</t>
  </si>
  <si>
    <t>LAUGALLIES  BERNHARD</t>
  </si>
  <si>
    <t>438105</t>
  </si>
  <si>
    <t>LOPEZ MAYOR MARÍA JOSE</t>
  </si>
  <si>
    <t>1000793709</t>
  </si>
  <si>
    <t>MOJICA SANTA CRUZ JULIANA</t>
  </si>
  <si>
    <t>1003659263</t>
  </si>
  <si>
    <t>NOACK  STEFAN MATEO</t>
  </si>
  <si>
    <t>1053857508</t>
  </si>
  <si>
    <t>PACHECO GONZALEZ MARIA ANGELICA</t>
  </si>
  <si>
    <t>1012395108</t>
  </si>
  <si>
    <t>QUECAN CARDENAS HAROLD FABIAN</t>
  </si>
  <si>
    <t>1071168013</t>
  </si>
  <si>
    <t>QUINCHE ANTONIO MARIA DEL CARMEN</t>
  </si>
  <si>
    <t>1082934292</t>
  </si>
  <si>
    <t>ROSADO MOLINA HERWIN ALEJANDRO</t>
  </si>
  <si>
    <t>399997</t>
  </si>
  <si>
    <t>STREBEL  IVAN ALOIS</t>
  </si>
  <si>
    <t>Comercial Discount</t>
  </si>
  <si>
    <t>Total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</si>
</sst>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theme="0"/>
      <name val="Tahoma"/>
      <family val="2"/>
    </font>
    <font>
      <b/>
      <sz val="7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7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1" fillId="0" borderId="0" xfId="0" applyNumberFormat="1" applyFont="1"/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165" fontId="10" fillId="0" borderId="3" xfId="0" applyNumberFormat="1" applyFont="1" applyBorder="1" applyAlignment="1">
      <alignment vertical="center" wrapText="1" readingOrder="1"/>
    </xf>
    <xf numFmtId="0" fontId="9" fillId="0" borderId="3" xfId="0" applyFont="1" applyBorder="1" applyAlignment="1">
      <alignment vertical="center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166" fontId="11" fillId="6" borderId="3" xfId="0" applyNumberFormat="1" applyFont="1" applyFill="1" applyBorder="1" applyAlignment="1">
      <alignment horizontal="right" vertical="center" wrapText="1" readingOrder="1"/>
    </xf>
    <xf numFmtId="166" fontId="9" fillId="7" borderId="3" xfId="0" applyNumberFormat="1" applyFont="1" applyFill="1" applyBorder="1" applyAlignment="1">
      <alignment horizontal="right" vertical="center" wrapText="1" readingOrder="1"/>
    </xf>
    <xf numFmtId="167" fontId="9" fillId="0" borderId="3" xfId="0" applyNumberFormat="1" applyFont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167" fontId="9" fillId="9" borderId="3" xfId="0" applyNumberFormat="1" applyFont="1" applyFill="1" applyBorder="1" applyAlignment="1">
      <alignment horizontal="right" vertical="center" wrapText="1" readingOrder="1"/>
    </xf>
    <xf numFmtId="166" fontId="9" fillId="9" borderId="3" xfId="0" applyNumberFormat="1" applyFont="1" applyFill="1" applyBorder="1" applyAlignment="1">
      <alignment horizontal="right" vertical="center" wrapText="1" readingOrder="1"/>
    </xf>
    <xf numFmtId="166" fontId="12" fillId="0" borderId="3" xfId="0" applyNumberFormat="1" applyFont="1" applyBorder="1" applyAlignment="1">
      <alignment horizontal="right" vertical="center" wrapText="1" readingOrder="1"/>
    </xf>
    <xf numFmtId="43" fontId="9" fillId="9" borderId="3" xfId="0" applyNumberFormat="1" applyFont="1" applyFill="1" applyBorder="1" applyAlignment="1">
      <alignment horizontal="right" vertical="center" wrapText="1" readingOrder="1"/>
    </xf>
    <xf numFmtId="167" fontId="9" fillId="9" borderId="3" xfId="1" applyNumberFormat="1" applyFont="1" applyFill="1" applyBorder="1" applyAlignment="1">
      <alignment horizontal="right" vertical="center" wrapText="1" readingOrder="1"/>
    </xf>
    <xf numFmtId="0" fontId="1" fillId="0" borderId="0" xfId="1" applyFont="1"/>
    <xf numFmtId="2" fontId="1" fillId="0" borderId="0" xfId="1" applyNumberFormat="1" applyFont="1"/>
    <xf numFmtId="43" fontId="1" fillId="0" borderId="0" xfId="0" applyNumberFormat="1" applyFont="1"/>
    <xf numFmtId="0" fontId="8" fillId="3" borderId="5" xfId="1" applyFont="1" applyFill="1" applyBorder="1" applyAlignment="1">
      <alignment horizontal="center" vertical="center" wrapText="1" readingOrder="1"/>
    </xf>
    <xf numFmtId="0" fontId="8" fillId="3" borderId="0" xfId="1" applyFont="1" applyFill="1" applyAlignment="1">
      <alignment horizontal="center" vertical="center" wrapText="1" readingOrder="1"/>
    </xf>
    <xf numFmtId="0" fontId="8" fillId="3" borderId="6" xfId="1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FA1A7E0-DEC2-4B6C-9C30-94A4463D65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8"/>
  <sheetViews>
    <sheetView tabSelected="1" topLeftCell="AY5" zoomScale="115" zoomScaleNormal="115" workbookViewId="0">
      <selection activeCell="BE29" sqref="BE29"/>
    </sheetView>
  </sheetViews>
  <sheetFormatPr defaultColWidth="9.140625" defaultRowHeight="14.45" customHeight="1"/>
  <cols>
    <col min="1" max="2" width="10.28515625" style="1" customWidth="1"/>
    <col min="3" max="3" width="31.140625" style="1" customWidth="1"/>
    <col min="4" max="4" width="14.42578125" style="1" customWidth="1"/>
    <col min="5" max="5" width="14.7109375" style="1" customWidth="1"/>
    <col min="6" max="6" width="20.140625" style="1" customWidth="1"/>
    <col min="7" max="7" width="11.85546875" style="1" customWidth="1"/>
    <col min="8" max="9" width="16.140625" style="1" customWidth="1"/>
    <col min="10" max="10" width="15.28515625" style="1" customWidth="1"/>
    <col min="11" max="11" width="10" style="1" customWidth="1"/>
    <col min="12" max="12" width="12.140625" style="1" customWidth="1"/>
    <col min="13" max="15" width="10" style="1" customWidth="1"/>
    <col min="16" max="16" width="12.140625" style="1" customWidth="1"/>
    <col min="17" max="17" width="15.7109375" style="1" customWidth="1"/>
    <col min="18" max="18" width="14.28515625" style="1" customWidth="1"/>
    <col min="19" max="19" width="15.7109375" style="1" customWidth="1"/>
    <col min="20" max="29" width="12.7109375" style="1" customWidth="1"/>
    <col min="30" max="30" width="11.28515625" style="1" customWidth="1"/>
    <col min="32" max="38" width="12.5703125" style="1" customWidth="1"/>
    <col min="39" max="39" width="12.42578125" style="1" customWidth="1"/>
    <col min="41" max="41" width="9.140625" style="1" customWidth="1"/>
    <col min="42" max="43" width="11.5703125" style="1" customWidth="1"/>
    <col min="44" max="44" width="12.140625" style="1" customWidth="1"/>
    <col min="45" max="45" width="8.5703125" style="1" customWidth="1"/>
    <col min="46" max="46" width="9.85546875" style="1" customWidth="1"/>
    <col min="48" max="48" width="9.5703125" style="1" customWidth="1"/>
    <col min="49" max="49" width="10.42578125" style="1" customWidth="1"/>
    <col min="50" max="53" width="8.85546875" style="1" customWidth="1"/>
    <col min="54" max="54" width="9" style="1" customWidth="1"/>
    <col min="56" max="56" width="12.5703125" style="1" customWidth="1"/>
    <col min="57" max="57" width="11.5703125" style="1" customWidth="1"/>
    <col min="58" max="58" width="8.42578125" style="1" customWidth="1"/>
    <col min="59" max="59" width="8.85546875" style="1" customWidth="1"/>
    <col min="60" max="60" width="7.140625" style="1" customWidth="1"/>
    <col min="61" max="61" width="11.28515625" style="1" customWidth="1"/>
    <col min="62" max="62" width="12.5703125" style="1" customWidth="1"/>
    <col min="63" max="63" width="10.42578125" style="1" customWidth="1"/>
    <col min="64" max="64" width="9.42578125" style="1" customWidth="1"/>
    <col min="65" max="65" width="8.28515625" style="1" customWidth="1"/>
    <col min="66" max="66" width="12.28515625" style="1" customWidth="1"/>
    <col min="67" max="67" width="12.5703125" style="1" hidden="1" customWidth="1"/>
    <col min="68" max="68" width="10.85546875" style="1" hidden="1" customWidth="1"/>
    <col min="69" max="69" width="14.5703125" style="1" customWidth="1"/>
    <col min="70" max="79" width="9.140625" style="1" customWidth="1"/>
  </cols>
  <sheetData>
    <row r="1" spans="1:68" ht="17.45" customHeight="1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5"/>
      <c r="AF1" s="6"/>
      <c r="AG1" s="6"/>
      <c r="AH1" s="6"/>
      <c r="AI1" s="6"/>
      <c r="AJ1" s="6"/>
      <c r="AK1" s="6"/>
      <c r="AL1" s="6"/>
      <c r="AM1" s="7"/>
      <c r="AP1" s="6"/>
      <c r="AQ1" s="6"/>
      <c r="AR1" s="6"/>
      <c r="AS1" s="7"/>
      <c r="AT1" s="6"/>
      <c r="AV1" s="6"/>
      <c r="AW1" s="6"/>
      <c r="AX1" s="6"/>
      <c r="AY1" s="6"/>
      <c r="AZ1" s="6"/>
      <c r="BA1" s="6"/>
      <c r="BB1" s="7"/>
      <c r="BD1" s="6"/>
      <c r="BE1" s="6"/>
      <c r="BF1" s="6"/>
      <c r="BG1" s="6"/>
      <c r="BH1" s="6"/>
      <c r="BI1" s="6"/>
      <c r="BJ1" s="6"/>
      <c r="BK1" s="6"/>
      <c r="BL1" s="8"/>
      <c r="BM1" s="6"/>
      <c r="BN1" s="7"/>
    </row>
    <row r="2" spans="1:68" ht="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9"/>
      <c r="AF2" s="10"/>
      <c r="AG2" s="40" t="s">
        <v>1</v>
      </c>
      <c r="AH2" s="40"/>
      <c r="AI2" s="40"/>
      <c r="AJ2" s="40"/>
      <c r="AK2" s="40"/>
      <c r="AL2" s="40"/>
      <c r="AM2" s="40"/>
      <c r="AP2" s="40" t="s">
        <v>2</v>
      </c>
      <c r="AQ2" s="40"/>
      <c r="AR2" s="40"/>
      <c r="AS2" s="11"/>
      <c r="AT2" s="10"/>
      <c r="AV2" s="40" t="s">
        <v>3</v>
      </c>
      <c r="AW2" s="40"/>
      <c r="AX2" s="40"/>
      <c r="AY2" s="40"/>
      <c r="AZ2" s="40"/>
      <c r="BA2" s="40"/>
      <c r="BB2" s="40"/>
      <c r="BD2" s="10"/>
      <c r="BE2" s="40" t="s">
        <v>4</v>
      </c>
      <c r="BF2" s="40"/>
      <c r="BG2" s="40"/>
      <c r="BH2" s="40"/>
      <c r="BI2" s="40"/>
      <c r="BJ2" s="40"/>
      <c r="BK2" s="40"/>
      <c r="BL2" s="40"/>
      <c r="BM2" s="40"/>
      <c r="BN2" s="40"/>
      <c r="BO2" s="12">
        <f>1/BH4</f>
        <v>8.8305647746651793E-6</v>
      </c>
    </row>
    <row r="3" spans="1:68" ht="48.75" customHeight="1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3" t="s">
        <v>13</v>
      </c>
      <c r="J3" s="13" t="s">
        <v>14</v>
      </c>
      <c r="K3" s="13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5" t="s">
        <v>20</v>
      </c>
      <c r="Q3" s="15" t="s">
        <v>21</v>
      </c>
      <c r="R3" s="16" t="s">
        <v>22</v>
      </c>
      <c r="S3" s="16" t="s">
        <v>23</v>
      </c>
      <c r="T3" s="13" t="s">
        <v>24</v>
      </c>
      <c r="U3" s="16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  <c r="AD3" s="13" t="s">
        <v>34</v>
      </c>
      <c r="AF3" s="17"/>
      <c r="AG3" s="16" t="s">
        <v>35</v>
      </c>
      <c r="AH3" s="16" t="s">
        <v>36</v>
      </c>
      <c r="AI3" s="16" t="s">
        <v>37</v>
      </c>
      <c r="AJ3" s="16" t="s">
        <v>38</v>
      </c>
      <c r="AK3" s="16" t="s">
        <v>39</v>
      </c>
      <c r="AL3" s="16" t="s">
        <v>40</v>
      </c>
      <c r="AM3" s="16" t="s">
        <v>41</v>
      </c>
      <c r="AP3" s="16" t="s">
        <v>42</v>
      </c>
      <c r="AQ3" s="16" t="s">
        <v>43</v>
      </c>
      <c r="AR3" s="16" t="s">
        <v>44</v>
      </c>
      <c r="AS3" s="16" t="s">
        <v>41</v>
      </c>
      <c r="AT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41</v>
      </c>
      <c r="BD3" s="17"/>
      <c r="BE3" s="16" t="s">
        <v>52</v>
      </c>
      <c r="BF3" s="16" t="s">
        <v>53</v>
      </c>
      <c r="BG3" s="16" t="s">
        <v>54</v>
      </c>
      <c r="BH3" s="16" t="s">
        <v>55</v>
      </c>
      <c r="BI3" s="16" t="s">
        <v>56</v>
      </c>
      <c r="BJ3" s="16" t="s">
        <v>57</v>
      </c>
      <c r="BK3" s="16" t="s">
        <v>58</v>
      </c>
      <c r="BL3" s="16" t="s">
        <v>59</v>
      </c>
      <c r="BM3" s="16" t="s">
        <v>60</v>
      </c>
      <c r="BN3" s="16" t="s">
        <v>61</v>
      </c>
      <c r="BO3" s="16" t="s">
        <v>62</v>
      </c>
      <c r="BP3" s="16" t="s">
        <v>63</v>
      </c>
    </row>
    <row r="4" spans="1:68" ht="15">
      <c r="A4" s="18" t="s">
        <v>64</v>
      </c>
      <c r="B4" s="18"/>
      <c r="C4" s="18" t="s">
        <v>65</v>
      </c>
      <c r="D4" s="19">
        <v>46113.208518518513</v>
      </c>
      <c r="E4" s="19">
        <v>46477.208518518513</v>
      </c>
      <c r="F4" s="18" t="s">
        <v>66</v>
      </c>
      <c r="G4" s="18" t="s">
        <v>67</v>
      </c>
      <c r="H4" s="20" t="s">
        <v>68</v>
      </c>
      <c r="I4" s="21" t="s">
        <v>69</v>
      </c>
      <c r="J4" s="21"/>
      <c r="K4" s="22">
        <v>3148143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>
        <v>249095</v>
      </c>
      <c r="Y4" s="22"/>
      <c r="Z4" s="22"/>
      <c r="AA4" s="22"/>
      <c r="AB4" s="22"/>
      <c r="AC4" s="22"/>
      <c r="AD4" s="23">
        <f t="shared" ref="AD4:AD23" si="0">SUM(K4,M4,N4,O4,P4,Q4,R4,S4,T4,U4,V4,W4,X4,Y4,Z4,AA4,L4,AC4,AB4)</f>
        <v>3397238</v>
      </c>
      <c r="AF4" s="24"/>
      <c r="AG4" s="22">
        <v>377874</v>
      </c>
      <c r="AH4" s="22"/>
      <c r="AI4" s="22">
        <v>76700</v>
      </c>
      <c r="AJ4" s="22">
        <v>126000</v>
      </c>
      <c r="AK4" s="22"/>
      <c r="AL4" s="22"/>
      <c r="AM4" s="23">
        <f t="shared" ref="AM4:AM23" si="1">SUM(AJ4,AH4,AL4,AI4,AK4,AG4)</f>
        <v>580574</v>
      </c>
      <c r="AP4" s="22">
        <v>283104</v>
      </c>
      <c r="AQ4" s="22">
        <v>283104</v>
      </c>
      <c r="AR4" s="22">
        <v>34289</v>
      </c>
      <c r="AS4" s="23">
        <f t="shared" ref="AS4:AS23" si="2">SUM(AP4,AQ4,AR4)</f>
        <v>600497</v>
      </c>
      <c r="AT4" s="25">
        <f t="shared" ref="AT4:AT23" si="3">SUM(AM4,AS4)</f>
        <v>1181071</v>
      </c>
      <c r="AV4" s="22"/>
      <c r="AW4" s="22"/>
      <c r="AX4" s="22"/>
      <c r="AY4" s="22"/>
      <c r="AZ4" s="22"/>
      <c r="BA4" s="22">
        <v>131318</v>
      </c>
      <c r="BB4" s="26">
        <f t="shared" ref="BB4:BB23" si="4">SUM(AV4,AW4,AX4,AY4,AZ4,BA4,AB4)</f>
        <v>131318</v>
      </c>
      <c r="BD4" s="24"/>
      <c r="BE4" s="22">
        <f t="shared" ref="BE4:BE23" si="5">SUM(AD4,AM4,AS4,BB4,BG4)</f>
        <v>4728465.5080000004</v>
      </c>
      <c r="BF4" s="22">
        <f t="shared" ref="BF4:BF23" si="6">200*BJ4</f>
        <v>596016</v>
      </c>
      <c r="BG4" s="22">
        <f t="shared" ref="BG4:BG23" si="7">(AD4+AM4+AS4+BB4)*0.004</f>
        <v>18838.508000000002</v>
      </c>
      <c r="BH4" s="22">
        <f t="shared" ref="BH4:BH23" si="8">BF4*0.19</f>
        <v>113243.04000000001</v>
      </c>
      <c r="BI4" s="22">
        <f t="shared" ref="BI4:BI23" si="9">SUM(BE4,BF4,BH4)</f>
        <v>5437724.5480000004</v>
      </c>
      <c r="BJ4" s="27">
        <v>2980.08</v>
      </c>
      <c r="BK4" s="28">
        <f t="shared" ref="BK4:BK23" si="10">ROUND(BE4/BJ4,2)</f>
        <v>1586.69</v>
      </c>
      <c r="BL4" s="28">
        <f t="shared" ref="BL4:BL23" si="11">ROUND(BF4/BJ4,2)</f>
        <v>200</v>
      </c>
      <c r="BM4" s="28">
        <f t="shared" ref="BM4:BM23" si="12">ROUND(BH4/BJ4,2)</f>
        <v>38</v>
      </c>
      <c r="BN4" s="28">
        <f t="shared" ref="BN4:BN23" si="13">SUM(BK4,BL4,BM4)</f>
        <v>1824.69</v>
      </c>
      <c r="BO4" s="29"/>
      <c r="BP4" s="28"/>
    </row>
    <row r="5" spans="1:68" ht="15">
      <c r="A5" s="18" t="s">
        <v>70</v>
      </c>
      <c r="B5" s="18"/>
      <c r="C5" s="18" t="s">
        <v>71</v>
      </c>
      <c r="D5" s="19">
        <v>46090.208518518513</v>
      </c>
      <c r="E5" s="19">
        <v>46446.208518518513</v>
      </c>
      <c r="F5" s="18" t="s">
        <v>66</v>
      </c>
      <c r="G5" s="18" t="s">
        <v>67</v>
      </c>
      <c r="H5" s="20" t="s">
        <v>68</v>
      </c>
      <c r="I5" s="21" t="s">
        <v>69</v>
      </c>
      <c r="K5" s="22">
        <v>3289248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C5" s="22"/>
      <c r="AD5" s="23">
        <f t="shared" si="0"/>
        <v>3289248</v>
      </c>
      <c r="AG5" s="22">
        <v>394730</v>
      </c>
      <c r="AH5" s="22"/>
      <c r="AI5" s="22">
        <v>17200</v>
      </c>
      <c r="AJ5" s="22">
        <v>131600</v>
      </c>
      <c r="AK5" s="22"/>
      <c r="AL5" s="22"/>
      <c r="AM5" s="23">
        <f t="shared" si="1"/>
        <v>543530</v>
      </c>
      <c r="AP5" s="22">
        <v>274104</v>
      </c>
      <c r="AQ5" s="22">
        <v>274104</v>
      </c>
      <c r="AR5" s="22">
        <v>34172</v>
      </c>
      <c r="AS5" s="23">
        <f t="shared" si="2"/>
        <v>582380</v>
      </c>
      <c r="AT5" s="25">
        <f t="shared" si="3"/>
        <v>1125910</v>
      </c>
      <c r="AV5" s="22"/>
      <c r="AW5" s="22"/>
      <c r="AX5" s="22"/>
      <c r="BA5" s="22">
        <v>131318</v>
      </c>
      <c r="BB5" s="26">
        <f t="shared" si="4"/>
        <v>131318</v>
      </c>
      <c r="BE5" s="22">
        <f t="shared" si="5"/>
        <v>4564661.9040000001</v>
      </c>
      <c r="BF5" s="22">
        <f t="shared" si="6"/>
        <v>596016</v>
      </c>
      <c r="BG5" s="22">
        <f t="shared" si="7"/>
        <v>18185.903999999999</v>
      </c>
      <c r="BH5" s="22">
        <f t="shared" si="8"/>
        <v>113243.04000000001</v>
      </c>
      <c r="BI5" s="22">
        <f t="shared" si="9"/>
        <v>5273920.9440000001</v>
      </c>
      <c r="BJ5" s="27">
        <v>2980.08</v>
      </c>
      <c r="BK5" s="28">
        <f t="shared" si="10"/>
        <v>1531.72</v>
      </c>
      <c r="BL5" s="28">
        <f t="shared" si="11"/>
        <v>200</v>
      </c>
      <c r="BM5" s="28">
        <f t="shared" si="12"/>
        <v>38</v>
      </c>
      <c r="BN5" s="28">
        <f t="shared" si="13"/>
        <v>1769.72</v>
      </c>
    </row>
    <row r="6" spans="1:68" ht="15">
      <c r="A6" s="18" t="s">
        <v>72</v>
      </c>
      <c r="B6" s="18"/>
      <c r="C6" s="18" t="s">
        <v>73</v>
      </c>
      <c r="D6" s="19">
        <v>46113.208518518513</v>
      </c>
      <c r="E6" s="19"/>
      <c r="F6" s="18" t="s">
        <v>66</v>
      </c>
      <c r="G6" s="18" t="s">
        <v>67</v>
      </c>
      <c r="H6" s="20" t="s">
        <v>68</v>
      </c>
      <c r="I6" s="21" t="s">
        <v>69</v>
      </c>
      <c r="K6" s="22">
        <v>3875000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C6" s="22"/>
      <c r="AD6" s="23">
        <f t="shared" si="0"/>
        <v>3875000</v>
      </c>
      <c r="AG6" s="22">
        <v>465000</v>
      </c>
      <c r="AH6" s="22"/>
      <c r="AI6" s="22">
        <v>20300</v>
      </c>
      <c r="AJ6" s="22">
        <v>155000</v>
      </c>
      <c r="AK6" s="22"/>
      <c r="AL6" s="22"/>
      <c r="AM6" s="23">
        <f t="shared" si="1"/>
        <v>640300</v>
      </c>
      <c r="AP6" s="22">
        <v>322917</v>
      </c>
      <c r="AQ6" s="22">
        <v>322917</v>
      </c>
      <c r="AR6" s="22">
        <v>35521</v>
      </c>
      <c r="AS6" s="23">
        <f t="shared" si="2"/>
        <v>681355</v>
      </c>
      <c r="AT6" s="25">
        <f t="shared" si="3"/>
        <v>1321655</v>
      </c>
      <c r="AV6" s="22"/>
      <c r="AW6" s="22"/>
      <c r="AX6" s="22"/>
      <c r="BA6" s="22">
        <v>131318</v>
      </c>
      <c r="BB6" s="26">
        <f t="shared" si="4"/>
        <v>131318</v>
      </c>
      <c r="BE6" s="22">
        <f t="shared" si="5"/>
        <v>5349284.892</v>
      </c>
      <c r="BF6" s="22">
        <f t="shared" si="6"/>
        <v>596016</v>
      </c>
      <c r="BG6" s="22">
        <f t="shared" si="7"/>
        <v>21311.892</v>
      </c>
      <c r="BH6" s="22">
        <f t="shared" si="8"/>
        <v>113243.04000000001</v>
      </c>
      <c r="BI6" s="22">
        <f t="shared" si="9"/>
        <v>6058543.932</v>
      </c>
      <c r="BJ6" s="27">
        <v>2980.08</v>
      </c>
      <c r="BK6" s="28">
        <f t="shared" si="10"/>
        <v>1795.01</v>
      </c>
      <c r="BL6" s="28">
        <f t="shared" si="11"/>
        <v>200</v>
      </c>
      <c r="BM6" s="28">
        <f t="shared" si="12"/>
        <v>38</v>
      </c>
      <c r="BN6" s="28">
        <f t="shared" si="13"/>
        <v>2033.01</v>
      </c>
    </row>
    <row r="7" spans="1:68" ht="15">
      <c r="A7" s="18" t="s">
        <v>74</v>
      </c>
      <c r="B7" s="18" t="s">
        <v>75</v>
      </c>
      <c r="C7" s="18" t="s">
        <v>76</v>
      </c>
      <c r="D7" s="19">
        <v>45922.208518518513</v>
      </c>
      <c r="E7" s="19"/>
      <c r="F7" s="18" t="s">
        <v>66</v>
      </c>
      <c r="G7" s="18" t="s">
        <v>67</v>
      </c>
      <c r="H7" s="20" t="s">
        <v>68</v>
      </c>
      <c r="I7" s="21" t="s">
        <v>69</v>
      </c>
      <c r="K7" s="22">
        <v>10775943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C7" s="22"/>
      <c r="AD7" s="23">
        <f t="shared" si="0"/>
        <v>10775943</v>
      </c>
      <c r="AG7" s="22">
        <v>1293162</v>
      </c>
      <c r="AH7" s="22"/>
      <c r="AI7" s="22">
        <v>33800</v>
      </c>
      <c r="AJ7" s="22">
        <v>431200</v>
      </c>
      <c r="AK7" s="22"/>
      <c r="AL7" s="22"/>
      <c r="AM7" s="23">
        <f t="shared" si="1"/>
        <v>1758162</v>
      </c>
      <c r="AP7" s="22">
        <v>897995</v>
      </c>
      <c r="AQ7" s="22">
        <v>897995</v>
      </c>
      <c r="AR7" s="22">
        <v>152659</v>
      </c>
      <c r="AS7" s="23">
        <f t="shared" si="2"/>
        <v>1948649</v>
      </c>
      <c r="AT7" s="25">
        <f t="shared" si="3"/>
        <v>3706811</v>
      </c>
      <c r="AV7" s="22"/>
      <c r="AW7" s="22"/>
      <c r="AX7" s="22"/>
      <c r="BA7" s="22">
        <v>131318</v>
      </c>
      <c r="BB7" s="26">
        <f t="shared" si="4"/>
        <v>131318</v>
      </c>
      <c r="BE7" s="22">
        <f t="shared" si="5"/>
        <v>14672528.288000001</v>
      </c>
      <c r="BF7" s="22">
        <f t="shared" si="6"/>
        <v>596016</v>
      </c>
      <c r="BG7" s="22">
        <f t="shared" si="7"/>
        <v>58456.288</v>
      </c>
      <c r="BH7" s="22">
        <f t="shared" si="8"/>
        <v>113243.04000000001</v>
      </c>
      <c r="BI7" s="22">
        <f t="shared" si="9"/>
        <v>15381787.328</v>
      </c>
      <c r="BJ7" s="27">
        <v>2980.08</v>
      </c>
      <c r="BK7" s="28">
        <f t="shared" si="10"/>
        <v>4923.54</v>
      </c>
      <c r="BL7" s="28">
        <f t="shared" si="11"/>
        <v>200</v>
      </c>
      <c r="BM7" s="28">
        <f t="shared" si="12"/>
        <v>38</v>
      </c>
      <c r="BN7" s="28">
        <f t="shared" si="13"/>
        <v>5161.54</v>
      </c>
    </row>
    <row r="8" spans="1:68" ht="15">
      <c r="A8" s="18" t="s">
        <v>77</v>
      </c>
      <c r="B8" s="18" t="s">
        <v>75</v>
      </c>
      <c r="C8" s="18" t="s">
        <v>78</v>
      </c>
      <c r="D8" s="19">
        <v>45901.208518518513</v>
      </c>
      <c r="E8" s="19"/>
      <c r="F8" s="18" t="s">
        <v>66</v>
      </c>
      <c r="G8" s="18" t="s">
        <v>67</v>
      </c>
      <c r="H8" s="20" t="s">
        <v>68</v>
      </c>
      <c r="I8" s="21" t="s">
        <v>69</v>
      </c>
      <c r="K8" s="22">
        <v>4872532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C8" s="22"/>
      <c r="AD8" s="23">
        <f t="shared" si="0"/>
        <v>4872532</v>
      </c>
      <c r="AG8" s="22">
        <v>584799</v>
      </c>
      <c r="AH8" s="22"/>
      <c r="AI8" s="22">
        <v>118700</v>
      </c>
      <c r="AJ8" s="22">
        <v>195000</v>
      </c>
      <c r="AK8" s="22"/>
      <c r="AL8" s="22"/>
      <c r="AM8" s="23">
        <f t="shared" si="1"/>
        <v>898499</v>
      </c>
      <c r="AP8" s="22">
        <v>406044</v>
      </c>
      <c r="AQ8" s="22">
        <v>406043</v>
      </c>
      <c r="AR8" s="22">
        <v>73764</v>
      </c>
      <c r="AS8" s="23">
        <f t="shared" si="2"/>
        <v>885851</v>
      </c>
      <c r="AT8" s="25">
        <f t="shared" si="3"/>
        <v>1784350</v>
      </c>
      <c r="AV8" s="22"/>
      <c r="AW8" s="22"/>
      <c r="AX8" s="22"/>
      <c r="BA8" s="22">
        <v>131318</v>
      </c>
      <c r="BB8" s="26">
        <f t="shared" si="4"/>
        <v>131318</v>
      </c>
      <c r="BE8" s="22">
        <f t="shared" si="5"/>
        <v>6815352.7999999998</v>
      </c>
      <c r="BF8" s="22">
        <f t="shared" si="6"/>
        <v>596016</v>
      </c>
      <c r="BG8" s="22">
        <f t="shared" si="7"/>
        <v>27152.799999999999</v>
      </c>
      <c r="BH8" s="22">
        <f t="shared" si="8"/>
        <v>113243.04000000001</v>
      </c>
      <c r="BI8" s="22">
        <f t="shared" si="9"/>
        <v>7524611.8399999999</v>
      </c>
      <c r="BJ8" s="27">
        <v>2980.08</v>
      </c>
      <c r="BK8" s="28">
        <f t="shared" si="10"/>
        <v>2286.9699999999998</v>
      </c>
      <c r="BL8" s="28">
        <f t="shared" si="11"/>
        <v>200</v>
      </c>
      <c r="BM8" s="28">
        <f t="shared" si="12"/>
        <v>38</v>
      </c>
      <c r="BN8" s="28">
        <f t="shared" si="13"/>
        <v>2524.9699999999998</v>
      </c>
    </row>
    <row r="9" spans="1:68" ht="15">
      <c r="A9" s="18" t="s">
        <v>79</v>
      </c>
      <c r="B9" s="18"/>
      <c r="C9" s="18" t="s">
        <v>80</v>
      </c>
      <c r="D9" s="19">
        <v>46090.208518518513</v>
      </c>
      <c r="E9" s="19">
        <v>46446.208518518513</v>
      </c>
      <c r="F9" s="18" t="s">
        <v>66</v>
      </c>
      <c r="G9" s="18" t="s">
        <v>67</v>
      </c>
      <c r="H9" s="20" t="s">
        <v>68</v>
      </c>
      <c r="I9" s="21" t="s">
        <v>69</v>
      </c>
      <c r="K9" s="22">
        <v>4131959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C9" s="22"/>
      <c r="AD9" s="23">
        <f t="shared" si="0"/>
        <v>4131959</v>
      </c>
      <c r="AG9" s="22">
        <v>493538</v>
      </c>
      <c r="AH9" s="22"/>
      <c r="AI9" s="22">
        <v>18700</v>
      </c>
      <c r="AJ9" s="22">
        <v>165400</v>
      </c>
      <c r="AK9" s="22"/>
      <c r="AL9" s="22"/>
      <c r="AM9" s="23">
        <f t="shared" si="1"/>
        <v>677638</v>
      </c>
      <c r="AP9" s="22">
        <v>342630</v>
      </c>
      <c r="AQ9" s="22">
        <v>619219</v>
      </c>
      <c r="AR9" s="22">
        <v>60701</v>
      </c>
      <c r="AS9" s="23">
        <f t="shared" si="2"/>
        <v>1022550</v>
      </c>
      <c r="AT9" s="25">
        <f t="shared" si="3"/>
        <v>1700188</v>
      </c>
      <c r="AV9" s="22"/>
      <c r="AW9" s="22"/>
      <c r="AX9" s="22"/>
      <c r="BA9" s="22">
        <v>131318</v>
      </c>
      <c r="BB9" s="26">
        <f t="shared" si="4"/>
        <v>131318</v>
      </c>
      <c r="BE9" s="22">
        <f t="shared" si="5"/>
        <v>5987318.8600000003</v>
      </c>
      <c r="BF9" s="22">
        <f t="shared" si="6"/>
        <v>596016</v>
      </c>
      <c r="BG9" s="22">
        <f t="shared" si="7"/>
        <v>23853.86</v>
      </c>
      <c r="BH9" s="22">
        <f t="shared" si="8"/>
        <v>113243.04000000001</v>
      </c>
      <c r="BI9" s="22">
        <f t="shared" si="9"/>
        <v>6696577.9000000004</v>
      </c>
      <c r="BJ9" s="27">
        <v>2980.08</v>
      </c>
      <c r="BK9" s="28">
        <f t="shared" si="10"/>
        <v>2009.11</v>
      </c>
      <c r="BL9" s="28">
        <f t="shared" si="11"/>
        <v>200</v>
      </c>
      <c r="BM9" s="28">
        <f t="shared" si="12"/>
        <v>38</v>
      </c>
      <c r="BN9" s="28">
        <f t="shared" si="13"/>
        <v>2247.1099999999997</v>
      </c>
    </row>
    <row r="10" spans="1:68" ht="15">
      <c r="A10" s="18" t="s">
        <v>81</v>
      </c>
      <c r="B10" s="18"/>
      <c r="C10" s="18" t="s">
        <v>82</v>
      </c>
      <c r="D10" s="19">
        <v>46113.208518518513</v>
      </c>
      <c r="E10" s="19">
        <v>46446.208518518513</v>
      </c>
      <c r="F10" s="18" t="s">
        <v>66</v>
      </c>
      <c r="G10" s="18" t="s">
        <v>67</v>
      </c>
      <c r="H10" s="20" t="s">
        <v>68</v>
      </c>
      <c r="I10" s="21" t="s">
        <v>69</v>
      </c>
      <c r="K10" s="22">
        <v>4933872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C10" s="22"/>
      <c r="AD10" s="23">
        <f t="shared" si="0"/>
        <v>4933872</v>
      </c>
      <c r="AG10" s="22">
        <v>592145</v>
      </c>
      <c r="AH10" s="22"/>
      <c r="AI10" s="22">
        <v>25800</v>
      </c>
      <c r="AJ10" s="22">
        <v>197400</v>
      </c>
      <c r="AK10" s="22"/>
      <c r="AL10" s="22"/>
      <c r="AM10" s="23">
        <f t="shared" si="1"/>
        <v>815345</v>
      </c>
      <c r="AP10" s="22">
        <v>411156</v>
      </c>
      <c r="AQ10" s="22">
        <v>616734</v>
      </c>
      <c r="AR10" s="22">
        <v>55506</v>
      </c>
      <c r="AS10" s="23">
        <f t="shared" si="2"/>
        <v>1083396</v>
      </c>
      <c r="AT10" s="25">
        <f t="shared" si="3"/>
        <v>1898741</v>
      </c>
      <c r="AV10" s="22"/>
      <c r="AW10" s="22"/>
      <c r="AX10" s="22"/>
      <c r="BA10" s="22">
        <v>131318</v>
      </c>
      <c r="BB10" s="26">
        <f t="shared" si="4"/>
        <v>131318</v>
      </c>
      <c r="BE10" s="22">
        <f t="shared" si="5"/>
        <v>6991786.7240000004</v>
      </c>
      <c r="BF10" s="22">
        <f t="shared" si="6"/>
        <v>596016</v>
      </c>
      <c r="BG10" s="22">
        <f t="shared" si="7"/>
        <v>27855.724000000002</v>
      </c>
      <c r="BH10" s="22">
        <f t="shared" si="8"/>
        <v>113243.04000000001</v>
      </c>
      <c r="BI10" s="22">
        <f t="shared" si="9"/>
        <v>7701045.7640000004</v>
      </c>
      <c r="BJ10" s="27">
        <v>2980.08</v>
      </c>
      <c r="BK10" s="28">
        <f t="shared" si="10"/>
        <v>2346.17</v>
      </c>
      <c r="BL10" s="28">
        <f t="shared" si="11"/>
        <v>200</v>
      </c>
      <c r="BM10" s="28">
        <f t="shared" si="12"/>
        <v>38</v>
      </c>
      <c r="BN10" s="28">
        <f t="shared" si="13"/>
        <v>2584.17</v>
      </c>
    </row>
    <row r="11" spans="1:68" ht="15">
      <c r="A11" s="18" t="s">
        <v>83</v>
      </c>
      <c r="B11" s="18"/>
      <c r="C11" s="18" t="s">
        <v>84</v>
      </c>
      <c r="D11" s="19">
        <v>46090.208518518513</v>
      </c>
      <c r="E11" s="19">
        <v>46446.208518518513</v>
      </c>
      <c r="F11" s="18" t="s">
        <v>66</v>
      </c>
      <c r="G11" s="18" t="s">
        <v>67</v>
      </c>
      <c r="H11" s="20" t="s">
        <v>68</v>
      </c>
      <c r="I11" s="21" t="s">
        <v>69</v>
      </c>
      <c r="K11" s="22">
        <v>4111560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C11" s="22"/>
      <c r="AD11" s="23">
        <f t="shared" si="0"/>
        <v>4111560</v>
      </c>
      <c r="AG11" s="22">
        <v>493438</v>
      </c>
      <c r="AH11" s="22"/>
      <c r="AI11" s="22">
        <v>21500</v>
      </c>
      <c r="AJ11" s="22">
        <v>164500</v>
      </c>
      <c r="AK11" s="22"/>
      <c r="AL11" s="22"/>
      <c r="AM11" s="23">
        <f t="shared" si="1"/>
        <v>679438</v>
      </c>
      <c r="AP11" s="22">
        <v>342630</v>
      </c>
      <c r="AQ11" s="22">
        <v>342630</v>
      </c>
      <c r="AR11" s="22">
        <v>43628</v>
      </c>
      <c r="AS11" s="23">
        <f t="shared" si="2"/>
        <v>728888</v>
      </c>
      <c r="AT11" s="25">
        <f t="shared" si="3"/>
        <v>1408326</v>
      </c>
      <c r="AV11" s="22"/>
      <c r="AW11" s="22"/>
      <c r="AX11" s="22"/>
      <c r="BA11" s="22">
        <v>131318</v>
      </c>
      <c r="BB11" s="26">
        <f t="shared" si="4"/>
        <v>131318</v>
      </c>
      <c r="BE11" s="22">
        <f t="shared" si="5"/>
        <v>5673808.8159999996</v>
      </c>
      <c r="BF11" s="22">
        <f t="shared" si="6"/>
        <v>596016</v>
      </c>
      <c r="BG11" s="22">
        <f t="shared" si="7"/>
        <v>22604.815999999999</v>
      </c>
      <c r="BH11" s="22">
        <f t="shared" si="8"/>
        <v>113243.04000000001</v>
      </c>
      <c r="BI11" s="22">
        <f t="shared" si="9"/>
        <v>6383067.8559999997</v>
      </c>
      <c r="BJ11" s="27">
        <v>2980.08</v>
      </c>
      <c r="BK11" s="28">
        <f t="shared" si="10"/>
        <v>1903.91</v>
      </c>
      <c r="BL11" s="28">
        <f t="shared" si="11"/>
        <v>200</v>
      </c>
      <c r="BM11" s="28">
        <f t="shared" si="12"/>
        <v>38</v>
      </c>
      <c r="BN11" s="28">
        <f t="shared" si="13"/>
        <v>2141.91</v>
      </c>
    </row>
    <row r="12" spans="1:68" ht="15">
      <c r="A12" s="18" t="s">
        <v>85</v>
      </c>
      <c r="B12" s="18"/>
      <c r="C12" s="18" t="s">
        <v>86</v>
      </c>
      <c r="D12" s="19">
        <v>46134.208518518513</v>
      </c>
      <c r="E12" s="19"/>
      <c r="F12" s="18" t="s">
        <v>66</v>
      </c>
      <c r="G12" s="18" t="s">
        <v>67</v>
      </c>
      <c r="H12" s="20" t="s">
        <v>68</v>
      </c>
      <c r="I12" s="21" t="s">
        <v>69</v>
      </c>
      <c r="K12" s="22">
        <v>13987067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C12" s="22"/>
      <c r="AD12" s="23">
        <f t="shared" si="0"/>
        <v>13987067</v>
      </c>
      <c r="AG12" s="22">
        <v>1678517</v>
      </c>
      <c r="AH12" s="22"/>
      <c r="AI12" s="22">
        <v>340800</v>
      </c>
      <c r="AJ12" s="22">
        <v>559500</v>
      </c>
      <c r="AK12" s="22"/>
      <c r="AL12" s="22"/>
      <c r="AM12" s="23">
        <f t="shared" si="1"/>
        <v>2578817</v>
      </c>
      <c r="AP12" s="22">
        <v>1165589</v>
      </c>
      <c r="AQ12" s="22">
        <v>1165589</v>
      </c>
      <c r="AR12" s="22">
        <v>111897</v>
      </c>
      <c r="AS12" s="23">
        <f t="shared" si="2"/>
        <v>2443075</v>
      </c>
      <c r="AT12" s="25">
        <f t="shared" si="3"/>
        <v>5021892</v>
      </c>
      <c r="AV12" s="22"/>
      <c r="AW12" s="22"/>
      <c r="AX12" s="22"/>
      <c r="BA12" s="22">
        <v>131318</v>
      </c>
      <c r="BB12" s="26">
        <f t="shared" si="4"/>
        <v>131318</v>
      </c>
      <c r="BE12" s="22">
        <f t="shared" si="5"/>
        <v>19216838.107999999</v>
      </c>
      <c r="BF12" s="22">
        <f t="shared" si="6"/>
        <v>596016</v>
      </c>
      <c r="BG12" s="22">
        <f t="shared" si="7"/>
        <v>76561.108000000007</v>
      </c>
      <c r="BH12" s="22">
        <f t="shared" si="8"/>
        <v>113243.04000000001</v>
      </c>
      <c r="BI12" s="22">
        <f t="shared" si="9"/>
        <v>19926097.147999998</v>
      </c>
      <c r="BJ12" s="27">
        <v>2980.08</v>
      </c>
      <c r="BK12" s="28">
        <f t="shared" si="10"/>
        <v>6448.43</v>
      </c>
      <c r="BL12" s="28">
        <f t="shared" si="11"/>
        <v>200</v>
      </c>
      <c r="BM12" s="28">
        <f t="shared" si="12"/>
        <v>38</v>
      </c>
      <c r="BN12" s="28">
        <f t="shared" si="13"/>
        <v>6686.43</v>
      </c>
    </row>
    <row r="13" spans="1:68" ht="15">
      <c r="A13" s="18" t="s">
        <v>87</v>
      </c>
      <c r="B13" s="18" t="s">
        <v>75</v>
      </c>
      <c r="C13" s="18" t="s">
        <v>88</v>
      </c>
      <c r="D13" s="19">
        <v>45978.208518518513</v>
      </c>
      <c r="E13" s="19"/>
      <c r="F13" s="18" t="s">
        <v>66</v>
      </c>
      <c r="G13" s="18" t="s">
        <v>67</v>
      </c>
      <c r="H13" s="20" t="s">
        <v>68</v>
      </c>
      <c r="I13" s="21" t="s">
        <v>69</v>
      </c>
      <c r="K13" s="22">
        <v>11322345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C13" s="22"/>
      <c r="AD13" s="23">
        <f t="shared" si="0"/>
        <v>11322345</v>
      </c>
      <c r="AG13" s="22">
        <v>1358706</v>
      </c>
      <c r="AH13" s="22"/>
      <c r="AI13" s="22">
        <v>275900</v>
      </c>
      <c r="AJ13" s="22">
        <v>452900</v>
      </c>
      <c r="AK13" s="22"/>
      <c r="AL13" s="22"/>
      <c r="AM13" s="23">
        <f t="shared" si="1"/>
        <v>2087506</v>
      </c>
      <c r="AP13" s="22">
        <v>943528</v>
      </c>
      <c r="AQ13" s="22">
        <v>943529</v>
      </c>
      <c r="AR13" s="22">
        <v>160400</v>
      </c>
      <c r="AS13" s="23">
        <f t="shared" si="2"/>
        <v>2047457</v>
      </c>
      <c r="AT13" s="25">
        <f t="shared" si="3"/>
        <v>4134963</v>
      </c>
      <c r="AV13" s="22"/>
      <c r="AW13" s="22"/>
      <c r="AX13" s="22"/>
      <c r="BA13" s="22">
        <v>131318</v>
      </c>
      <c r="BB13" s="26">
        <f t="shared" si="4"/>
        <v>131318</v>
      </c>
      <c r="BE13" s="22">
        <f t="shared" si="5"/>
        <v>15650980.504000001</v>
      </c>
      <c r="BF13" s="22">
        <f t="shared" si="6"/>
        <v>596016</v>
      </c>
      <c r="BG13" s="22">
        <f t="shared" si="7"/>
        <v>62354.504000000001</v>
      </c>
      <c r="BH13" s="22">
        <f t="shared" si="8"/>
        <v>113243.04000000001</v>
      </c>
      <c r="BI13" s="22">
        <f t="shared" si="9"/>
        <v>16360239.544</v>
      </c>
      <c r="BJ13" s="27">
        <v>2980.08</v>
      </c>
      <c r="BK13" s="28">
        <f t="shared" si="10"/>
        <v>5251.87</v>
      </c>
      <c r="BL13" s="28">
        <f t="shared" si="11"/>
        <v>200</v>
      </c>
      <c r="BM13" s="28">
        <f t="shared" si="12"/>
        <v>38</v>
      </c>
      <c r="BN13" s="28">
        <f t="shared" si="13"/>
        <v>5489.87</v>
      </c>
    </row>
    <row r="14" spans="1:68" ht="15">
      <c r="A14" s="18" t="s">
        <v>89</v>
      </c>
      <c r="B14" s="18"/>
      <c r="C14" s="18" t="s">
        <v>90</v>
      </c>
      <c r="D14" s="19">
        <v>46122.208518518513</v>
      </c>
      <c r="E14" s="19"/>
      <c r="F14" s="18" t="s">
        <v>66</v>
      </c>
      <c r="G14" s="18" t="s">
        <v>67</v>
      </c>
      <c r="H14" s="20" t="s">
        <v>68</v>
      </c>
      <c r="I14" s="21" t="s">
        <v>69</v>
      </c>
      <c r="K14" s="22">
        <v>9530973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>
        <v>2192983</v>
      </c>
      <c r="W14" s="22"/>
      <c r="X14" s="22"/>
      <c r="Y14" s="22"/>
      <c r="Z14" s="22"/>
      <c r="AA14" s="22"/>
      <c r="AC14" s="22"/>
      <c r="AD14" s="23">
        <f t="shared" si="0"/>
        <v>11723956</v>
      </c>
      <c r="AG14" s="22">
        <v>1143761</v>
      </c>
      <c r="AH14" s="22"/>
      <c r="AI14" s="22">
        <v>49800</v>
      </c>
      <c r="AJ14" s="22">
        <v>381300</v>
      </c>
      <c r="AK14" s="22"/>
      <c r="AL14" s="22"/>
      <c r="AM14" s="23">
        <f t="shared" si="1"/>
        <v>1574861</v>
      </c>
      <c r="AP14" s="22">
        <v>794247</v>
      </c>
      <c r="AQ14" s="22">
        <v>794248</v>
      </c>
      <c r="AR14" s="22">
        <v>82602</v>
      </c>
      <c r="AS14" s="23">
        <f t="shared" si="2"/>
        <v>1671097</v>
      </c>
      <c r="AT14" s="25">
        <f t="shared" si="3"/>
        <v>3245958</v>
      </c>
      <c r="AV14" s="22"/>
      <c r="AW14" s="22"/>
      <c r="AX14" s="22"/>
      <c r="BA14" s="22">
        <v>131318</v>
      </c>
      <c r="BB14" s="26">
        <f t="shared" si="4"/>
        <v>131318</v>
      </c>
      <c r="BE14" s="22">
        <f t="shared" si="5"/>
        <v>15161636.927999999</v>
      </c>
      <c r="BF14" s="22">
        <f t="shared" si="6"/>
        <v>596016</v>
      </c>
      <c r="BG14" s="22">
        <f t="shared" si="7"/>
        <v>60404.928</v>
      </c>
      <c r="BH14" s="22">
        <f t="shared" si="8"/>
        <v>113243.04000000001</v>
      </c>
      <c r="BI14" s="22">
        <f t="shared" si="9"/>
        <v>15870895.967999998</v>
      </c>
      <c r="BJ14" s="27">
        <v>2980.08</v>
      </c>
      <c r="BK14" s="28">
        <f t="shared" si="10"/>
        <v>5087.66</v>
      </c>
      <c r="BL14" s="28">
        <f t="shared" si="11"/>
        <v>200</v>
      </c>
      <c r="BM14" s="28">
        <f t="shared" si="12"/>
        <v>38</v>
      </c>
      <c r="BN14" s="28">
        <f t="shared" si="13"/>
        <v>5325.66</v>
      </c>
    </row>
    <row r="15" spans="1:68" ht="15">
      <c r="A15" s="18" t="s">
        <v>91</v>
      </c>
      <c r="B15" s="18"/>
      <c r="C15" s="18" t="s">
        <v>92</v>
      </c>
      <c r="D15" s="19">
        <v>46177.208518518513</v>
      </c>
      <c r="E15" s="19"/>
      <c r="F15" s="18" t="s">
        <v>66</v>
      </c>
      <c r="G15" s="18" t="s">
        <v>67</v>
      </c>
      <c r="H15" s="20" t="s">
        <v>68</v>
      </c>
      <c r="I15" s="21" t="s">
        <v>69</v>
      </c>
      <c r="K15" s="22">
        <v>9530973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>
        <v>2192982</v>
      </c>
      <c r="W15" s="22"/>
      <c r="X15" s="22"/>
      <c r="Y15" s="22"/>
      <c r="Z15" s="22"/>
      <c r="AA15" s="22"/>
      <c r="AC15" s="22"/>
      <c r="AD15" s="23">
        <f t="shared" si="0"/>
        <v>11723955</v>
      </c>
      <c r="AG15" s="22">
        <v>1143761</v>
      </c>
      <c r="AH15" s="22"/>
      <c r="AI15" s="22">
        <v>49800</v>
      </c>
      <c r="AJ15" s="22">
        <v>381300</v>
      </c>
      <c r="AK15" s="22"/>
      <c r="AL15" s="22"/>
      <c r="AM15" s="23">
        <f t="shared" si="1"/>
        <v>1574861</v>
      </c>
      <c r="AP15" s="22">
        <v>794247</v>
      </c>
      <c r="AQ15" s="22">
        <v>794248</v>
      </c>
      <c r="AR15" s="22">
        <v>54009</v>
      </c>
      <c r="AS15" s="23">
        <f t="shared" si="2"/>
        <v>1642504</v>
      </c>
      <c r="AT15" s="25">
        <f t="shared" si="3"/>
        <v>3217365</v>
      </c>
      <c r="AV15" s="22"/>
      <c r="AW15" s="22"/>
      <c r="AX15" s="22"/>
      <c r="BA15" s="22">
        <v>131318</v>
      </c>
      <c r="BB15" s="26">
        <f t="shared" si="4"/>
        <v>131318</v>
      </c>
      <c r="BE15" s="22">
        <f t="shared" si="5"/>
        <v>15132928.551999999</v>
      </c>
      <c r="BF15" s="22">
        <f t="shared" si="6"/>
        <v>596016</v>
      </c>
      <c r="BG15" s="22">
        <f t="shared" si="7"/>
        <v>60290.552000000003</v>
      </c>
      <c r="BH15" s="22">
        <f t="shared" si="8"/>
        <v>113243.04000000001</v>
      </c>
      <c r="BI15" s="22">
        <f t="shared" si="9"/>
        <v>15842187.591999998</v>
      </c>
      <c r="BJ15" s="27">
        <v>2980.08</v>
      </c>
      <c r="BK15" s="28">
        <f t="shared" si="10"/>
        <v>5078.03</v>
      </c>
      <c r="BL15" s="28">
        <f t="shared" si="11"/>
        <v>200</v>
      </c>
      <c r="BM15" s="28">
        <f t="shared" si="12"/>
        <v>38</v>
      </c>
      <c r="BN15" s="28">
        <f t="shared" si="13"/>
        <v>5316.03</v>
      </c>
    </row>
    <row r="16" spans="1:68" ht="15">
      <c r="A16" s="18" t="s">
        <v>93</v>
      </c>
      <c r="B16" s="18"/>
      <c r="C16" s="18" t="s">
        <v>94</v>
      </c>
      <c r="D16" s="19">
        <v>46090.208518518513</v>
      </c>
      <c r="E16" s="19">
        <v>46446.208518518513</v>
      </c>
      <c r="F16" s="18" t="s">
        <v>66</v>
      </c>
      <c r="G16" s="18" t="s">
        <v>67</v>
      </c>
      <c r="H16" s="20" t="s">
        <v>68</v>
      </c>
      <c r="I16" s="21" t="s">
        <v>69</v>
      </c>
      <c r="K16" s="22">
        <v>4111560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C16" s="22"/>
      <c r="AD16" s="23">
        <f t="shared" si="0"/>
        <v>4111560</v>
      </c>
      <c r="AG16" s="22">
        <v>493438</v>
      </c>
      <c r="AH16" s="22"/>
      <c r="AI16" s="22">
        <v>21500</v>
      </c>
      <c r="AJ16" s="22">
        <v>164500</v>
      </c>
      <c r="AK16" s="22"/>
      <c r="AL16" s="22"/>
      <c r="AM16" s="23">
        <f t="shared" si="1"/>
        <v>679438</v>
      </c>
      <c r="AP16" s="22">
        <v>342630</v>
      </c>
      <c r="AQ16" s="22">
        <v>342630</v>
      </c>
      <c r="AR16" s="22">
        <v>43628</v>
      </c>
      <c r="AS16" s="23">
        <f t="shared" si="2"/>
        <v>728888</v>
      </c>
      <c r="AT16" s="25">
        <f t="shared" si="3"/>
        <v>1408326</v>
      </c>
      <c r="AV16" s="22"/>
      <c r="AW16" s="22"/>
      <c r="AX16" s="22"/>
      <c r="BA16" s="22">
        <v>131318</v>
      </c>
      <c r="BB16" s="26">
        <f t="shared" si="4"/>
        <v>131318</v>
      </c>
      <c r="BE16" s="22">
        <f t="shared" si="5"/>
        <v>5673808.8159999996</v>
      </c>
      <c r="BF16" s="22">
        <f t="shared" si="6"/>
        <v>596016</v>
      </c>
      <c r="BG16" s="22">
        <f t="shared" si="7"/>
        <v>22604.815999999999</v>
      </c>
      <c r="BH16" s="22">
        <f t="shared" si="8"/>
        <v>113243.04000000001</v>
      </c>
      <c r="BI16" s="22">
        <f t="shared" si="9"/>
        <v>6383067.8559999997</v>
      </c>
      <c r="BJ16" s="27">
        <v>2980.08</v>
      </c>
      <c r="BK16" s="28">
        <f t="shared" si="10"/>
        <v>1903.91</v>
      </c>
      <c r="BL16" s="28">
        <f t="shared" si="11"/>
        <v>200</v>
      </c>
      <c r="BM16" s="28">
        <f t="shared" si="12"/>
        <v>38</v>
      </c>
      <c r="BN16" s="28">
        <f t="shared" si="13"/>
        <v>2141.91</v>
      </c>
    </row>
    <row r="17" spans="1:70" ht="15">
      <c r="A17" s="18" t="s">
        <v>95</v>
      </c>
      <c r="B17" s="18" t="s">
        <v>75</v>
      </c>
      <c r="C17" s="18" t="s">
        <v>96</v>
      </c>
      <c r="D17" s="19">
        <v>45979.208518518513</v>
      </c>
      <c r="E17" s="19">
        <v>46343.208518518513</v>
      </c>
      <c r="F17" s="18" t="s">
        <v>66</v>
      </c>
      <c r="G17" s="18" t="s">
        <v>67</v>
      </c>
      <c r="H17" s="20" t="s">
        <v>68</v>
      </c>
      <c r="I17" s="21" t="s">
        <v>69</v>
      </c>
      <c r="K17" s="22">
        <v>9000000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C17" s="22"/>
      <c r="AD17" s="23">
        <f t="shared" si="0"/>
        <v>9000000</v>
      </c>
      <c r="AG17" s="22">
        <v>1080000</v>
      </c>
      <c r="AH17" s="22"/>
      <c r="AI17" s="22">
        <v>47000</v>
      </c>
      <c r="AJ17" s="22">
        <v>360000</v>
      </c>
      <c r="AK17" s="22"/>
      <c r="AL17" s="22"/>
      <c r="AM17" s="23">
        <f t="shared" si="1"/>
        <v>1487000</v>
      </c>
      <c r="AP17" s="22">
        <v>750000</v>
      </c>
      <c r="AQ17" s="22">
        <v>750000</v>
      </c>
      <c r="AR17" s="22">
        <v>127500</v>
      </c>
      <c r="AS17" s="23">
        <f t="shared" si="2"/>
        <v>1627500</v>
      </c>
      <c r="AT17" s="25">
        <f t="shared" si="3"/>
        <v>3114500</v>
      </c>
      <c r="AV17" s="22">
        <v>65400</v>
      </c>
      <c r="AW17" s="22"/>
      <c r="AX17" s="22"/>
      <c r="BA17" s="22">
        <v>131318</v>
      </c>
      <c r="BB17" s="26">
        <f t="shared" si="4"/>
        <v>196718</v>
      </c>
      <c r="BE17" s="22">
        <f t="shared" si="5"/>
        <v>12360462.872</v>
      </c>
      <c r="BF17" s="22">
        <f t="shared" si="6"/>
        <v>596016</v>
      </c>
      <c r="BG17" s="22">
        <f t="shared" si="7"/>
        <v>49244.872000000003</v>
      </c>
      <c r="BH17" s="22">
        <f t="shared" si="8"/>
        <v>113243.04000000001</v>
      </c>
      <c r="BI17" s="22">
        <f t="shared" si="9"/>
        <v>13069721.911999999</v>
      </c>
      <c r="BJ17" s="27">
        <v>2980.08</v>
      </c>
      <c r="BK17" s="28">
        <f t="shared" si="10"/>
        <v>4147.6899999999996</v>
      </c>
      <c r="BL17" s="28">
        <f t="shared" si="11"/>
        <v>200</v>
      </c>
      <c r="BM17" s="28">
        <f t="shared" si="12"/>
        <v>38</v>
      </c>
      <c r="BN17" s="28">
        <f t="shared" si="13"/>
        <v>4385.6899999999996</v>
      </c>
    </row>
    <row r="18" spans="1:70" ht="15">
      <c r="A18" s="18" t="s">
        <v>97</v>
      </c>
      <c r="B18" s="18"/>
      <c r="C18" s="18" t="s">
        <v>98</v>
      </c>
      <c r="D18" s="19">
        <v>46097.208518518513</v>
      </c>
      <c r="E18" s="19"/>
      <c r="F18" s="18" t="s">
        <v>66</v>
      </c>
      <c r="G18" s="18" t="s">
        <v>67</v>
      </c>
      <c r="H18" s="20" t="s">
        <v>68</v>
      </c>
      <c r="I18" s="21" t="s">
        <v>69</v>
      </c>
      <c r="K18" s="22">
        <v>7750000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C18" s="22"/>
      <c r="AD18" s="23">
        <f t="shared" si="0"/>
        <v>7750000</v>
      </c>
      <c r="AG18" s="22">
        <v>930000</v>
      </c>
      <c r="AH18" s="22"/>
      <c r="AI18" s="22">
        <v>40500</v>
      </c>
      <c r="AJ18" s="22">
        <v>310000</v>
      </c>
      <c r="AK18" s="22"/>
      <c r="AL18" s="22"/>
      <c r="AM18" s="23">
        <f t="shared" si="1"/>
        <v>1280500</v>
      </c>
      <c r="AP18" s="22">
        <v>645833</v>
      </c>
      <c r="AQ18" s="22">
        <v>645833</v>
      </c>
      <c r="AR18" s="22">
        <v>77709</v>
      </c>
      <c r="AS18" s="23">
        <f t="shared" si="2"/>
        <v>1369375</v>
      </c>
      <c r="AT18" s="25">
        <f t="shared" si="3"/>
        <v>2649875</v>
      </c>
      <c r="AV18" s="22"/>
      <c r="AW18" s="22"/>
      <c r="AX18" s="22"/>
      <c r="BA18" s="22">
        <v>131318</v>
      </c>
      <c r="BB18" s="26">
        <f t="shared" si="4"/>
        <v>131318</v>
      </c>
      <c r="BE18" s="22">
        <f t="shared" si="5"/>
        <v>10573317.772</v>
      </c>
      <c r="BF18" s="22">
        <f t="shared" si="6"/>
        <v>596016</v>
      </c>
      <c r="BG18" s="22">
        <f t="shared" si="7"/>
        <v>42124.772000000004</v>
      </c>
      <c r="BH18" s="22">
        <f t="shared" si="8"/>
        <v>113243.04000000001</v>
      </c>
      <c r="BI18" s="22">
        <f t="shared" si="9"/>
        <v>11282576.811999999</v>
      </c>
      <c r="BJ18" s="27">
        <v>2980.08</v>
      </c>
      <c r="BK18" s="28">
        <f t="shared" si="10"/>
        <v>3548</v>
      </c>
      <c r="BL18" s="28">
        <f t="shared" si="11"/>
        <v>200</v>
      </c>
      <c r="BM18" s="28">
        <f t="shared" si="12"/>
        <v>38</v>
      </c>
      <c r="BN18" s="28">
        <f t="shared" si="13"/>
        <v>3786</v>
      </c>
    </row>
    <row r="19" spans="1:70" ht="15">
      <c r="A19" s="18" t="s">
        <v>99</v>
      </c>
      <c r="B19" s="18"/>
      <c r="C19" s="18" t="s">
        <v>100</v>
      </c>
      <c r="D19" s="19">
        <v>46178.208518518513</v>
      </c>
      <c r="E19" s="19"/>
      <c r="F19" s="18" t="s">
        <v>66</v>
      </c>
      <c r="G19" s="18" t="s">
        <v>67</v>
      </c>
      <c r="H19" s="20" t="s">
        <v>68</v>
      </c>
      <c r="I19" s="21" t="s">
        <v>69</v>
      </c>
      <c r="K19" s="22">
        <v>11049000</v>
      </c>
      <c r="L19" s="22"/>
      <c r="M19" s="22"/>
      <c r="N19" s="22"/>
      <c r="O19" s="22"/>
      <c r="P19" s="22"/>
      <c r="Q19" s="22"/>
      <c r="R19" s="22"/>
      <c r="S19" s="22">
        <v>75000</v>
      </c>
      <c r="T19" s="22"/>
      <c r="U19" s="22"/>
      <c r="V19" s="22"/>
      <c r="W19" s="22"/>
      <c r="X19" s="22"/>
      <c r="Y19" s="22">
        <v>663000</v>
      </c>
      <c r="Z19" s="22"/>
      <c r="AA19" s="22"/>
      <c r="AC19" s="22"/>
      <c r="AD19" s="23">
        <f t="shared" si="0"/>
        <v>11787000</v>
      </c>
      <c r="AG19" s="22">
        <v>1325940</v>
      </c>
      <c r="AH19" s="22"/>
      <c r="AI19" s="22">
        <v>57700</v>
      </c>
      <c r="AJ19" s="22">
        <v>442000</v>
      </c>
      <c r="AK19" s="22"/>
      <c r="AL19" s="22"/>
      <c r="AM19" s="23">
        <f t="shared" si="1"/>
        <v>1825640</v>
      </c>
      <c r="AP19" s="22">
        <v>920750</v>
      </c>
      <c r="AQ19" s="22">
        <v>920750</v>
      </c>
      <c r="AR19" s="22">
        <v>63224</v>
      </c>
      <c r="AS19" s="23">
        <f t="shared" si="2"/>
        <v>1904724</v>
      </c>
      <c r="AT19" s="25">
        <f t="shared" si="3"/>
        <v>3730364</v>
      </c>
      <c r="AV19" s="22"/>
      <c r="AW19" s="22"/>
      <c r="AX19" s="22"/>
      <c r="BA19" s="22">
        <v>131318</v>
      </c>
      <c r="BB19" s="26">
        <f t="shared" si="4"/>
        <v>131318</v>
      </c>
      <c r="BE19" s="22">
        <f t="shared" si="5"/>
        <v>15711276.728</v>
      </c>
      <c r="BF19" s="22">
        <f t="shared" si="6"/>
        <v>596016</v>
      </c>
      <c r="BG19" s="22">
        <f t="shared" si="7"/>
        <v>62594.728000000003</v>
      </c>
      <c r="BH19" s="22">
        <f t="shared" si="8"/>
        <v>113243.04000000001</v>
      </c>
      <c r="BI19" s="22">
        <f t="shared" si="9"/>
        <v>16420535.767999999</v>
      </c>
      <c r="BJ19" s="27">
        <v>2980.08</v>
      </c>
      <c r="BK19" s="28">
        <f t="shared" si="10"/>
        <v>5272.1</v>
      </c>
      <c r="BL19" s="28">
        <f t="shared" si="11"/>
        <v>200</v>
      </c>
      <c r="BM19" s="28">
        <f t="shared" si="12"/>
        <v>38</v>
      </c>
      <c r="BN19" s="28">
        <f t="shared" si="13"/>
        <v>5510.1</v>
      </c>
    </row>
    <row r="20" spans="1:70" ht="15">
      <c r="A20" s="18" t="s">
        <v>101</v>
      </c>
      <c r="B20" s="18"/>
      <c r="C20" s="18" t="s">
        <v>102</v>
      </c>
      <c r="D20" s="19">
        <v>46086.208518518513</v>
      </c>
      <c r="E20" s="19"/>
      <c r="F20" s="18" t="s">
        <v>66</v>
      </c>
      <c r="G20" s="18" t="s">
        <v>67</v>
      </c>
      <c r="H20" s="20" t="s">
        <v>68</v>
      </c>
      <c r="I20" s="21" t="s">
        <v>69</v>
      </c>
      <c r="K20" s="22">
        <v>7750000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C20" s="22"/>
      <c r="AD20" s="23">
        <f t="shared" si="0"/>
        <v>7750000</v>
      </c>
      <c r="AG20" s="22">
        <v>930000</v>
      </c>
      <c r="AH20" s="22"/>
      <c r="AI20" s="22">
        <v>40500</v>
      </c>
      <c r="AJ20" s="22">
        <v>310000</v>
      </c>
      <c r="AK20" s="22"/>
      <c r="AL20" s="22"/>
      <c r="AM20" s="23">
        <f t="shared" si="1"/>
        <v>1280500</v>
      </c>
      <c r="AP20" s="22">
        <v>645833</v>
      </c>
      <c r="AQ20" s="22">
        <v>645834</v>
      </c>
      <c r="AR20" s="22">
        <v>82444</v>
      </c>
      <c r="AS20" s="23">
        <f t="shared" si="2"/>
        <v>1374111</v>
      </c>
      <c r="AT20" s="25">
        <f t="shared" si="3"/>
        <v>2654611</v>
      </c>
      <c r="AV20" s="22"/>
      <c r="AW20" s="22"/>
      <c r="AX20" s="22"/>
      <c r="BA20" s="22">
        <v>131318</v>
      </c>
      <c r="BB20" s="26">
        <f t="shared" si="4"/>
        <v>131318</v>
      </c>
      <c r="BE20" s="22">
        <f t="shared" si="5"/>
        <v>10578072.716</v>
      </c>
      <c r="BF20" s="22">
        <f t="shared" si="6"/>
        <v>596016</v>
      </c>
      <c r="BG20" s="22">
        <f t="shared" si="7"/>
        <v>42143.716</v>
      </c>
      <c r="BH20" s="22">
        <f t="shared" si="8"/>
        <v>113243.04000000001</v>
      </c>
      <c r="BI20" s="22">
        <f t="shared" si="9"/>
        <v>11287331.755999999</v>
      </c>
      <c r="BJ20" s="27">
        <v>2980.08</v>
      </c>
      <c r="BK20" s="28">
        <f t="shared" si="10"/>
        <v>3549.59</v>
      </c>
      <c r="BL20" s="28">
        <f t="shared" si="11"/>
        <v>200</v>
      </c>
      <c r="BM20" s="28">
        <f t="shared" si="12"/>
        <v>38</v>
      </c>
      <c r="BN20" s="28">
        <f t="shared" si="13"/>
        <v>3787.59</v>
      </c>
    </row>
    <row r="21" spans="1:70" ht="15">
      <c r="A21" s="18" t="s">
        <v>103</v>
      </c>
      <c r="B21" s="18"/>
      <c r="C21" s="18" t="s">
        <v>104</v>
      </c>
      <c r="D21" s="19">
        <v>46113.208518518513</v>
      </c>
      <c r="E21" s="19"/>
      <c r="F21" s="18" t="s">
        <v>66</v>
      </c>
      <c r="G21" s="18" t="s">
        <v>67</v>
      </c>
      <c r="H21" s="20" t="s">
        <v>68</v>
      </c>
      <c r="I21" s="21" t="s">
        <v>69</v>
      </c>
      <c r="K21" s="22">
        <v>3875000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C21" s="22"/>
      <c r="AD21" s="23">
        <f t="shared" si="0"/>
        <v>3875000</v>
      </c>
      <c r="AG21" s="22">
        <v>465000</v>
      </c>
      <c r="AH21" s="22"/>
      <c r="AI21" s="22">
        <v>20300</v>
      </c>
      <c r="AJ21" s="22">
        <v>155000</v>
      </c>
      <c r="AK21" s="22"/>
      <c r="AL21" s="22"/>
      <c r="AM21" s="23">
        <f t="shared" si="1"/>
        <v>640300</v>
      </c>
      <c r="AP21" s="22">
        <v>322917</v>
      </c>
      <c r="AQ21" s="22">
        <v>322917</v>
      </c>
      <c r="AR21" s="22">
        <v>36098</v>
      </c>
      <c r="AS21" s="23">
        <f t="shared" si="2"/>
        <v>681932</v>
      </c>
      <c r="AT21" s="25">
        <f t="shared" si="3"/>
        <v>1322232</v>
      </c>
      <c r="AV21" s="22"/>
      <c r="AW21" s="22"/>
      <c r="AX21" s="22"/>
      <c r="BA21" s="22">
        <v>131318</v>
      </c>
      <c r="BB21" s="26">
        <f t="shared" si="4"/>
        <v>131318</v>
      </c>
      <c r="BE21" s="22">
        <f t="shared" si="5"/>
        <v>5349864.2</v>
      </c>
      <c r="BF21" s="22">
        <f t="shared" si="6"/>
        <v>596016</v>
      </c>
      <c r="BG21" s="22">
        <f t="shared" si="7"/>
        <v>21314.2</v>
      </c>
      <c r="BH21" s="22">
        <f t="shared" si="8"/>
        <v>113243.04000000001</v>
      </c>
      <c r="BI21" s="22">
        <f t="shared" si="9"/>
        <v>6059123.2400000002</v>
      </c>
      <c r="BJ21" s="27">
        <v>2980.08</v>
      </c>
      <c r="BK21" s="28">
        <f t="shared" si="10"/>
        <v>1795.21</v>
      </c>
      <c r="BL21" s="28">
        <f t="shared" si="11"/>
        <v>200</v>
      </c>
      <c r="BM21" s="28">
        <f t="shared" si="12"/>
        <v>38</v>
      </c>
      <c r="BN21" s="28">
        <f t="shared" si="13"/>
        <v>2033.21</v>
      </c>
    </row>
    <row r="22" spans="1:70" ht="15">
      <c r="A22" s="18" t="s">
        <v>105</v>
      </c>
      <c r="B22" s="18"/>
      <c r="C22" s="18" t="s">
        <v>106</v>
      </c>
      <c r="D22" s="19">
        <v>46134.208518518513</v>
      </c>
      <c r="E22" s="19"/>
      <c r="F22" s="18" t="s">
        <v>66</v>
      </c>
      <c r="G22" s="18" t="s">
        <v>67</v>
      </c>
      <c r="H22" s="20" t="s">
        <v>68</v>
      </c>
      <c r="I22" s="21" t="s">
        <v>69</v>
      </c>
      <c r="K22" s="22">
        <v>13987067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C22" s="22"/>
      <c r="AD22" s="23">
        <f t="shared" si="0"/>
        <v>13987067</v>
      </c>
      <c r="AG22" s="22">
        <v>1678517</v>
      </c>
      <c r="AH22" s="22"/>
      <c r="AI22" s="22">
        <v>340800</v>
      </c>
      <c r="AJ22" s="22">
        <v>559500</v>
      </c>
      <c r="AK22" s="22"/>
      <c r="AL22" s="22"/>
      <c r="AM22" s="23">
        <f t="shared" si="1"/>
        <v>2578817</v>
      </c>
      <c r="AP22" s="22">
        <v>1165589</v>
      </c>
      <c r="AQ22" s="22">
        <v>1165589</v>
      </c>
      <c r="AR22" s="22">
        <v>111897</v>
      </c>
      <c r="AS22" s="23">
        <f t="shared" si="2"/>
        <v>2443075</v>
      </c>
      <c r="AT22" s="25">
        <f t="shared" si="3"/>
        <v>5021892</v>
      </c>
      <c r="AV22" s="22"/>
      <c r="AW22" s="22"/>
      <c r="AX22" s="22"/>
      <c r="BA22" s="22">
        <v>131318</v>
      </c>
      <c r="BB22" s="26">
        <f t="shared" si="4"/>
        <v>131318</v>
      </c>
      <c r="BE22" s="22">
        <f t="shared" si="5"/>
        <v>19216838.107999999</v>
      </c>
      <c r="BF22" s="22">
        <f t="shared" si="6"/>
        <v>596016</v>
      </c>
      <c r="BG22" s="22">
        <f t="shared" si="7"/>
        <v>76561.108000000007</v>
      </c>
      <c r="BH22" s="22">
        <f t="shared" si="8"/>
        <v>113243.04000000001</v>
      </c>
      <c r="BI22" s="22">
        <f t="shared" si="9"/>
        <v>19926097.147999998</v>
      </c>
      <c r="BJ22" s="27">
        <v>2980.08</v>
      </c>
      <c r="BK22" s="28">
        <f t="shared" si="10"/>
        <v>6448.43</v>
      </c>
      <c r="BL22" s="28">
        <f t="shared" si="11"/>
        <v>200</v>
      </c>
      <c r="BM22" s="28">
        <f t="shared" si="12"/>
        <v>38</v>
      </c>
      <c r="BN22" s="28">
        <f t="shared" si="13"/>
        <v>6686.43</v>
      </c>
    </row>
    <row r="23" spans="1:70" ht="15">
      <c r="A23" s="18" t="s">
        <v>107</v>
      </c>
      <c r="B23" s="18"/>
      <c r="C23" s="18" t="s">
        <v>108</v>
      </c>
      <c r="D23" s="19">
        <v>46090.208518518513</v>
      </c>
      <c r="E23" s="19">
        <v>46446.208518518513</v>
      </c>
      <c r="F23" s="18" t="s">
        <v>66</v>
      </c>
      <c r="G23" s="18" t="s">
        <v>67</v>
      </c>
      <c r="H23" s="20" t="s">
        <v>68</v>
      </c>
      <c r="I23" s="21" t="s">
        <v>69</v>
      </c>
      <c r="K23" s="22">
        <v>3289248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C23" s="22"/>
      <c r="AD23" s="23">
        <f t="shared" si="0"/>
        <v>3289248</v>
      </c>
      <c r="AG23" s="22">
        <v>394730</v>
      </c>
      <c r="AH23" s="22"/>
      <c r="AI23" s="22">
        <v>17200</v>
      </c>
      <c r="AJ23" s="22">
        <v>131600</v>
      </c>
      <c r="AK23" s="22"/>
      <c r="AL23" s="22"/>
      <c r="AM23" s="23">
        <f t="shared" si="1"/>
        <v>543530</v>
      </c>
      <c r="AP23" s="22">
        <v>274104</v>
      </c>
      <c r="AQ23" s="22">
        <v>274104</v>
      </c>
      <c r="AR23" s="22">
        <v>34172</v>
      </c>
      <c r="AS23" s="23">
        <f t="shared" si="2"/>
        <v>582380</v>
      </c>
      <c r="AT23" s="25">
        <f t="shared" si="3"/>
        <v>1125910</v>
      </c>
      <c r="AV23" s="22"/>
      <c r="AW23" s="22"/>
      <c r="AX23" s="22"/>
      <c r="BA23" s="22">
        <v>131318</v>
      </c>
      <c r="BB23" s="26">
        <f t="shared" si="4"/>
        <v>131318</v>
      </c>
      <c r="BE23" s="22">
        <f t="shared" si="5"/>
        <v>4564661.9040000001</v>
      </c>
      <c r="BF23" s="22">
        <f t="shared" si="6"/>
        <v>596016</v>
      </c>
      <c r="BG23" s="22">
        <f t="shared" si="7"/>
        <v>18185.903999999999</v>
      </c>
      <c r="BH23" s="22">
        <f t="shared" si="8"/>
        <v>113243.04000000001</v>
      </c>
      <c r="BI23" s="22">
        <f t="shared" si="9"/>
        <v>5273920.9440000001</v>
      </c>
      <c r="BJ23" s="27">
        <v>2980.08</v>
      </c>
      <c r="BK23" s="28">
        <f t="shared" si="10"/>
        <v>1531.72</v>
      </c>
      <c r="BL23" s="28">
        <f t="shared" si="11"/>
        <v>200</v>
      </c>
      <c r="BM23" s="28">
        <f t="shared" si="12"/>
        <v>38</v>
      </c>
      <c r="BN23" s="28">
        <f t="shared" si="13"/>
        <v>1769.72</v>
      </c>
    </row>
    <row r="24" spans="1:70" ht="15">
      <c r="K24" s="30">
        <f t="shared" ref="K24:AD24" si="14">SUM(K4:K23)</f>
        <v>144321490</v>
      </c>
      <c r="L24" s="30">
        <f t="shared" si="14"/>
        <v>0</v>
      </c>
      <c r="M24" s="30">
        <f t="shared" si="14"/>
        <v>0</v>
      </c>
      <c r="N24" s="30">
        <f t="shared" si="14"/>
        <v>0</v>
      </c>
      <c r="O24" s="30">
        <f t="shared" si="14"/>
        <v>0</v>
      </c>
      <c r="P24" s="30">
        <f t="shared" si="14"/>
        <v>0</v>
      </c>
      <c r="Q24" s="30">
        <f t="shared" si="14"/>
        <v>0</v>
      </c>
      <c r="R24" s="30">
        <f t="shared" si="14"/>
        <v>0</v>
      </c>
      <c r="S24" s="30">
        <f t="shared" si="14"/>
        <v>75000</v>
      </c>
      <c r="T24" s="30">
        <f t="shared" si="14"/>
        <v>0</v>
      </c>
      <c r="U24" s="30">
        <f t="shared" si="14"/>
        <v>0</v>
      </c>
      <c r="V24" s="30">
        <f t="shared" si="14"/>
        <v>4385965</v>
      </c>
      <c r="W24" s="30">
        <f t="shared" si="14"/>
        <v>0</v>
      </c>
      <c r="X24" s="30">
        <f t="shared" si="14"/>
        <v>249095</v>
      </c>
      <c r="Y24" s="30">
        <f t="shared" si="14"/>
        <v>663000</v>
      </c>
      <c r="Z24" s="30">
        <f t="shared" si="14"/>
        <v>0</v>
      </c>
      <c r="AA24" s="30">
        <f t="shared" si="14"/>
        <v>0</v>
      </c>
      <c r="AB24" s="30">
        <f t="shared" si="14"/>
        <v>0</v>
      </c>
      <c r="AC24" s="30">
        <f t="shared" si="14"/>
        <v>0</v>
      </c>
      <c r="AD24" s="30">
        <f t="shared" si="14"/>
        <v>149694550</v>
      </c>
      <c r="AG24" s="30">
        <f t="shared" ref="AG24:AM24" si="15">SUM(AG4:AG23)</f>
        <v>17317056</v>
      </c>
      <c r="AH24" s="30">
        <f t="shared" si="15"/>
        <v>0</v>
      </c>
      <c r="AI24" s="30">
        <f t="shared" si="15"/>
        <v>1634500</v>
      </c>
      <c r="AJ24" s="30">
        <f t="shared" si="15"/>
        <v>5773700</v>
      </c>
      <c r="AK24" s="30">
        <f t="shared" si="15"/>
        <v>0</v>
      </c>
      <c r="AL24" s="30">
        <f t="shared" si="15"/>
        <v>0</v>
      </c>
      <c r="AM24" s="30">
        <f t="shared" si="15"/>
        <v>24725256</v>
      </c>
      <c r="AP24" s="30">
        <f>SUM(AP4:AP23)</f>
        <v>12045847</v>
      </c>
      <c r="AQ24" s="30">
        <f>SUM(AQ4:AQ23)</f>
        <v>12528017</v>
      </c>
      <c r="AR24" s="30">
        <f>SUM(AR4:AR23)</f>
        <v>1475820</v>
      </c>
      <c r="AS24" s="30">
        <f>SUM(AS4:AS23)</f>
        <v>26049684</v>
      </c>
      <c r="AT24" s="31">
        <f>SUM(AT4:AT23)</f>
        <v>50774940</v>
      </c>
      <c r="AV24" s="30">
        <f t="shared" ref="AV24:BB24" si="16">SUM(AV4:AV23)</f>
        <v>65400</v>
      </c>
      <c r="AW24" s="30">
        <f t="shared" si="16"/>
        <v>0</v>
      </c>
      <c r="AX24" s="30">
        <f t="shared" si="16"/>
        <v>0</v>
      </c>
      <c r="AY24" s="30">
        <f t="shared" si="16"/>
        <v>0</v>
      </c>
      <c r="AZ24" s="30">
        <f t="shared" si="16"/>
        <v>0</v>
      </c>
      <c r="BA24" s="30">
        <f t="shared" si="16"/>
        <v>2626360</v>
      </c>
      <c r="BB24" s="30">
        <f t="shared" si="16"/>
        <v>2691760</v>
      </c>
      <c r="BE24" s="30">
        <f>SUM(BE4:BE23)</f>
        <v>203973894.99999997</v>
      </c>
      <c r="BF24" s="30">
        <f>SUM(BF4:BF23)</f>
        <v>11920320</v>
      </c>
      <c r="BG24" s="30">
        <f>SUM(BG4:BG23)</f>
        <v>812645</v>
      </c>
      <c r="BH24" s="30">
        <f>SUM(BH4:BH23)</f>
        <v>2264860.8000000003</v>
      </c>
      <c r="BI24" s="30">
        <f>SUM(BI4:BI23)</f>
        <v>218159075.80000001</v>
      </c>
      <c r="BK24" s="32">
        <f>SUM(BK4:BK23)</f>
        <v>68445.760000000009</v>
      </c>
      <c r="BL24" s="32">
        <f>SUM(BL4:BL23)</f>
        <v>4000</v>
      </c>
      <c r="BM24" s="32">
        <f>SUM(BM4:BM23)</f>
        <v>760</v>
      </c>
      <c r="BN24" s="32">
        <f>SUM(BN4:BN23)</f>
        <v>73205.760000000009</v>
      </c>
    </row>
    <row r="26" spans="1:70" ht="14.45" customHeight="1">
      <c r="BK26" s="37" t="s">
        <v>109</v>
      </c>
      <c r="BL26" s="38"/>
      <c r="BM26" s="39"/>
      <c r="BN26" s="33">
        <v>126</v>
      </c>
      <c r="BQ26" s="36"/>
    </row>
    <row r="27" spans="1:70" ht="14.45" customHeight="1">
      <c r="BK27" s="34"/>
      <c r="BL27" s="35"/>
      <c r="BM27" s="35"/>
      <c r="BN27" s="34"/>
      <c r="BQ27" s="36"/>
      <c r="BR27" s="36"/>
    </row>
    <row r="28" spans="1:70" ht="14.45" customHeight="1">
      <c r="BK28" s="37" t="s">
        <v>110</v>
      </c>
      <c r="BL28" s="38"/>
      <c r="BM28" s="39"/>
      <c r="BN28" s="33">
        <f>BN24-BN26</f>
        <v>73079.760000000009</v>
      </c>
    </row>
  </sheetData>
  <mergeCells count="6">
    <mergeCell ref="BK28:BM28"/>
    <mergeCell ref="AG2:AM2"/>
    <mergeCell ref="AP2:AR2"/>
    <mergeCell ref="AV2:BB2"/>
    <mergeCell ref="BE2:BN2"/>
    <mergeCell ref="BK26:BM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2026-03-04T15:02:48Z</dcterms:created>
  <dcterms:modified xsi:type="dcterms:W3CDTF">2026-09-11T22:44:05Z</dcterms:modified>
  <cp:category/>
  <cp:contentStatus/>
</cp:coreProperties>
</file>