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9F860EFE-7E26-4BE6-A6E2-8B65309EDF5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D" sheetId="3" r:id="rId1"/>
    <sheet name="Invoicing" sheetId="2" r:id="rId2"/>
  </sheets>
  <definedNames>
    <definedName name="_xlnm._FilterDatabase" localSheetId="1" hidden="1">Invoicing!$A$3:$CB$169</definedName>
    <definedName name="_xlnm._FilterDatabase" localSheetId="0" hidden="1">TD!$D$3:$E$3</definedName>
    <definedName name="_xlnm._FilterDatabase">Invoicing!$A$3:$AF$3,Invoicing!$AH$3:$AO$3,Invoicing!$AQ$3:$AV$3,Invoicing!$AX$3:$BD$3,Invoicing!$BG$3:$BT$3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78" i="2" l="1"/>
  <c r="BO178" i="2"/>
  <c r="BO169" i="2"/>
  <c r="BN180" i="2"/>
  <c r="BH184" i="2"/>
  <c r="BH182" i="2"/>
  <c r="BH180" i="2"/>
  <c r="BQ180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38" i="2"/>
  <c r="BW39" i="2"/>
  <c r="BW40" i="2"/>
  <c r="BW41" i="2"/>
  <c r="BW42" i="2"/>
  <c r="BW43" i="2"/>
  <c r="BW44" i="2"/>
  <c r="BW45" i="2"/>
  <c r="BW46" i="2"/>
  <c r="BW47" i="2"/>
  <c r="BW48" i="2"/>
  <c r="BW49" i="2"/>
  <c r="BW50" i="2"/>
  <c r="BW51" i="2"/>
  <c r="BW52" i="2"/>
  <c r="BW53" i="2"/>
  <c r="BW54" i="2"/>
  <c r="BW55" i="2"/>
  <c r="BW56" i="2"/>
  <c r="BW57" i="2"/>
  <c r="BW58" i="2"/>
  <c r="BW59" i="2"/>
  <c r="BW60" i="2"/>
  <c r="BW61" i="2"/>
  <c r="BW62" i="2"/>
  <c r="BW63" i="2"/>
  <c r="BW64" i="2"/>
  <c r="BW65" i="2"/>
  <c r="BW66" i="2"/>
  <c r="BW67" i="2"/>
  <c r="BW68" i="2"/>
  <c r="BW69" i="2"/>
  <c r="BW70" i="2"/>
  <c r="BW71" i="2"/>
  <c r="BW72" i="2"/>
  <c r="BW73" i="2"/>
  <c r="BW74" i="2"/>
  <c r="BW75" i="2"/>
  <c r="BW76" i="2"/>
  <c r="BW77" i="2"/>
  <c r="BW78" i="2"/>
  <c r="BW79" i="2"/>
  <c r="BW80" i="2"/>
  <c r="BW81" i="2"/>
  <c r="BW82" i="2"/>
  <c r="BW83" i="2"/>
  <c r="BW84" i="2"/>
  <c r="BW85" i="2"/>
  <c r="BW86" i="2"/>
  <c r="BW87" i="2"/>
  <c r="BW88" i="2"/>
  <c r="BW89" i="2"/>
  <c r="BW90" i="2"/>
  <c r="BW91" i="2"/>
  <c r="BW92" i="2"/>
  <c r="BW93" i="2"/>
  <c r="BW94" i="2"/>
  <c r="BW95" i="2"/>
  <c r="BW96" i="2"/>
  <c r="BW97" i="2"/>
  <c r="BW98" i="2"/>
  <c r="BW99" i="2"/>
  <c r="BW100" i="2"/>
  <c r="BW101" i="2"/>
  <c r="BW102" i="2"/>
  <c r="BW103" i="2"/>
  <c r="BW104" i="2"/>
  <c r="BW105" i="2"/>
  <c r="BW106" i="2"/>
  <c r="BW107" i="2"/>
  <c r="BW108" i="2"/>
  <c r="BW109" i="2"/>
  <c r="BW110" i="2"/>
  <c r="BW111" i="2"/>
  <c r="BW112" i="2"/>
  <c r="BW113" i="2"/>
  <c r="BW114" i="2"/>
  <c r="BW115" i="2"/>
  <c r="BW116" i="2"/>
  <c r="BW117" i="2"/>
  <c r="BW118" i="2"/>
  <c r="BW119" i="2"/>
  <c r="BW120" i="2"/>
  <c r="BW121" i="2"/>
  <c r="BW122" i="2"/>
  <c r="BW123" i="2"/>
  <c r="BW124" i="2"/>
  <c r="BW125" i="2"/>
  <c r="BW126" i="2"/>
  <c r="BW127" i="2"/>
  <c r="BW128" i="2"/>
  <c r="BW129" i="2"/>
  <c r="BW130" i="2"/>
  <c r="BW131" i="2"/>
  <c r="BW132" i="2"/>
  <c r="BW133" i="2"/>
  <c r="BW134" i="2"/>
  <c r="BW135" i="2"/>
  <c r="BW136" i="2"/>
  <c r="BW137" i="2"/>
  <c r="BW138" i="2"/>
  <c r="BW139" i="2"/>
  <c r="BW140" i="2"/>
  <c r="BW141" i="2"/>
  <c r="BW142" i="2"/>
  <c r="BW143" i="2"/>
  <c r="BW144" i="2"/>
  <c r="BW145" i="2"/>
  <c r="BW146" i="2"/>
  <c r="BW147" i="2"/>
  <c r="BW148" i="2"/>
  <c r="BW149" i="2"/>
  <c r="BW150" i="2"/>
  <c r="BW151" i="2"/>
  <c r="BW152" i="2"/>
  <c r="BW153" i="2"/>
  <c r="BW154" i="2"/>
  <c r="BW155" i="2"/>
  <c r="BW156" i="2"/>
  <c r="BW157" i="2"/>
  <c r="BW158" i="2"/>
  <c r="BW159" i="2"/>
  <c r="BW160" i="2"/>
  <c r="BW161" i="2"/>
  <c r="BW162" i="2"/>
  <c r="BW163" i="2"/>
  <c r="BW164" i="2"/>
  <c r="BW165" i="2"/>
  <c r="BW166" i="2"/>
  <c r="BW167" i="2"/>
  <c r="BW168" i="2"/>
  <c r="BW4" i="2"/>
  <c r="BU4" i="2"/>
  <c r="AO34" i="2" l="1"/>
  <c r="BI28" i="2"/>
  <c r="E47" i="3"/>
  <c r="AX32" i="2" l="1"/>
  <c r="BI168" i="2"/>
  <c r="BI167" i="2"/>
  <c r="BI166" i="2"/>
  <c r="BI165" i="2"/>
  <c r="BI164" i="2"/>
  <c r="BI163" i="2"/>
  <c r="BI162" i="2"/>
  <c r="BI161" i="2"/>
  <c r="BI160" i="2"/>
  <c r="BI159" i="2"/>
  <c r="BI158" i="2"/>
  <c r="BI157" i="2"/>
  <c r="BI156" i="2"/>
  <c r="BI155" i="2"/>
  <c r="BI154" i="2"/>
  <c r="BI153" i="2"/>
  <c r="BI152" i="2"/>
  <c r="BI151" i="2"/>
  <c r="BI150" i="2"/>
  <c r="BI149" i="2"/>
  <c r="BI148" i="2"/>
  <c r="BI147" i="2"/>
  <c r="BI146" i="2"/>
  <c r="BI145" i="2"/>
  <c r="BI144" i="2"/>
  <c r="BI143" i="2"/>
  <c r="BI142" i="2"/>
  <c r="BI141" i="2"/>
  <c r="BI140" i="2"/>
  <c r="BI139" i="2"/>
  <c r="BI138" i="2"/>
  <c r="BI137" i="2"/>
  <c r="BI136" i="2"/>
  <c r="BI135" i="2"/>
  <c r="BI134" i="2"/>
  <c r="BI133" i="2"/>
  <c r="BI132" i="2"/>
  <c r="BI131" i="2"/>
  <c r="BI130" i="2"/>
  <c r="BI129" i="2"/>
  <c r="BI128" i="2"/>
  <c r="BI127" i="2"/>
  <c r="BI126" i="2"/>
  <c r="BI125" i="2"/>
  <c r="BI124" i="2"/>
  <c r="BI123" i="2"/>
  <c r="BI122" i="2"/>
  <c r="BI121" i="2"/>
  <c r="BI120" i="2"/>
  <c r="BI119" i="2"/>
  <c r="BI118" i="2"/>
  <c r="BI117" i="2"/>
  <c r="BI116" i="2"/>
  <c r="BI115" i="2"/>
  <c r="BI114" i="2"/>
  <c r="BI113" i="2"/>
  <c r="BI112" i="2"/>
  <c r="BI111" i="2"/>
  <c r="BI110" i="2"/>
  <c r="BI109" i="2"/>
  <c r="BI108" i="2"/>
  <c r="BI107" i="2"/>
  <c r="BI106" i="2"/>
  <c r="BI105" i="2"/>
  <c r="BI104" i="2"/>
  <c r="BI103" i="2"/>
  <c r="BI102" i="2"/>
  <c r="BI101" i="2"/>
  <c r="BI100" i="2"/>
  <c r="BI99" i="2"/>
  <c r="BI98" i="2"/>
  <c r="BI97" i="2"/>
  <c r="BI96" i="2"/>
  <c r="BI95" i="2"/>
  <c r="BI94" i="2"/>
  <c r="BI93" i="2"/>
  <c r="BI92" i="2"/>
  <c r="BI91" i="2"/>
  <c r="BI90" i="2"/>
  <c r="BI89" i="2"/>
  <c r="BI88" i="2"/>
  <c r="BI87" i="2"/>
  <c r="BI86" i="2"/>
  <c r="BI85" i="2"/>
  <c r="BI84" i="2"/>
  <c r="BI83" i="2"/>
  <c r="BI82" i="2"/>
  <c r="BI81" i="2"/>
  <c r="BI80" i="2"/>
  <c r="BI79" i="2"/>
  <c r="BI78" i="2"/>
  <c r="BI77" i="2"/>
  <c r="BI76" i="2"/>
  <c r="BI75" i="2"/>
  <c r="BI74" i="2"/>
  <c r="BI73" i="2"/>
  <c r="BI72" i="2"/>
  <c r="BI71" i="2"/>
  <c r="BI70" i="2"/>
  <c r="BI69" i="2"/>
  <c r="BI68" i="2"/>
  <c r="BI67" i="2"/>
  <c r="BI66" i="2"/>
  <c r="BI65" i="2"/>
  <c r="BI64" i="2"/>
  <c r="BI63" i="2"/>
  <c r="BI62" i="2"/>
  <c r="BI61" i="2"/>
  <c r="BI60" i="2"/>
  <c r="BI59" i="2"/>
  <c r="BI58" i="2"/>
  <c r="BI57" i="2"/>
  <c r="BI56" i="2"/>
  <c r="BI55" i="2"/>
  <c r="BI54" i="2"/>
  <c r="BI53" i="2"/>
  <c r="BI52" i="2"/>
  <c r="BI51" i="2"/>
  <c r="BI50" i="2"/>
  <c r="BI49" i="2"/>
  <c r="BI48" i="2"/>
  <c r="BI47" i="2"/>
  <c r="BI46" i="2"/>
  <c r="BI45" i="2"/>
  <c r="BI44" i="2"/>
  <c r="BI43" i="2"/>
  <c r="BI42" i="2"/>
  <c r="BI41" i="2"/>
  <c r="BI40" i="2"/>
  <c r="BI39" i="2"/>
  <c r="BI38" i="2"/>
  <c r="BI37" i="2"/>
  <c r="BI36" i="2"/>
  <c r="BI35" i="2"/>
  <c r="BI34" i="2"/>
  <c r="BI33" i="2"/>
  <c r="BI32" i="2"/>
  <c r="BI31" i="2"/>
  <c r="BI30" i="2"/>
  <c r="BI29" i="2"/>
  <c r="BI27" i="2"/>
  <c r="BI26" i="2"/>
  <c r="BI25" i="2"/>
  <c r="BI24" i="2"/>
  <c r="BI23" i="2"/>
  <c r="BI22" i="2"/>
  <c r="BI21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I4" i="2"/>
  <c r="BC168" i="2" l="1"/>
  <c r="BX168" i="2" s="1"/>
  <c r="BC167" i="2"/>
  <c r="BX167" i="2" s="1"/>
  <c r="BC166" i="2"/>
  <c r="BX166" i="2" s="1"/>
  <c r="BC165" i="2"/>
  <c r="BX165" i="2" s="1"/>
  <c r="BC164" i="2"/>
  <c r="BX164" i="2" s="1"/>
  <c r="BC163" i="2"/>
  <c r="BX163" i="2" s="1"/>
  <c r="BC162" i="2"/>
  <c r="BX162" i="2" s="1"/>
  <c r="BC161" i="2"/>
  <c r="BX161" i="2" s="1"/>
  <c r="BC160" i="2"/>
  <c r="BX160" i="2" s="1"/>
  <c r="BC159" i="2"/>
  <c r="BX159" i="2" s="1"/>
  <c r="BC158" i="2"/>
  <c r="BX158" i="2" s="1"/>
  <c r="BC157" i="2"/>
  <c r="BX157" i="2" s="1"/>
  <c r="BC156" i="2"/>
  <c r="BX156" i="2" s="1"/>
  <c r="BC155" i="2"/>
  <c r="BX155" i="2" s="1"/>
  <c r="BC154" i="2"/>
  <c r="BX154" i="2" s="1"/>
  <c r="BC153" i="2"/>
  <c r="BX153" i="2" s="1"/>
  <c r="BC152" i="2"/>
  <c r="BX152" i="2" s="1"/>
  <c r="BC151" i="2"/>
  <c r="BX151" i="2" s="1"/>
  <c r="BC150" i="2"/>
  <c r="BX150" i="2" s="1"/>
  <c r="BC149" i="2"/>
  <c r="BX149" i="2" s="1"/>
  <c r="BC148" i="2"/>
  <c r="BX148" i="2" s="1"/>
  <c r="BC147" i="2"/>
  <c r="BX147" i="2" s="1"/>
  <c r="BC146" i="2"/>
  <c r="BX146" i="2" s="1"/>
  <c r="BC145" i="2"/>
  <c r="BX145" i="2" s="1"/>
  <c r="BC144" i="2"/>
  <c r="BX144" i="2" s="1"/>
  <c r="BC143" i="2"/>
  <c r="BX143" i="2" s="1"/>
  <c r="BC142" i="2"/>
  <c r="BX142" i="2" s="1"/>
  <c r="BC141" i="2"/>
  <c r="BX141" i="2" s="1"/>
  <c r="BC140" i="2"/>
  <c r="BX140" i="2" s="1"/>
  <c r="BC139" i="2"/>
  <c r="BX139" i="2" s="1"/>
  <c r="BC138" i="2"/>
  <c r="BX138" i="2" s="1"/>
  <c r="BC137" i="2"/>
  <c r="BX137" i="2" s="1"/>
  <c r="BC136" i="2"/>
  <c r="BX136" i="2" s="1"/>
  <c r="BC135" i="2"/>
  <c r="BX135" i="2" s="1"/>
  <c r="BC134" i="2"/>
  <c r="BX134" i="2" s="1"/>
  <c r="BC133" i="2"/>
  <c r="BX133" i="2" s="1"/>
  <c r="BC132" i="2"/>
  <c r="BX132" i="2" s="1"/>
  <c r="BC131" i="2"/>
  <c r="BX131" i="2" s="1"/>
  <c r="BC130" i="2"/>
  <c r="BX130" i="2" s="1"/>
  <c r="BC129" i="2"/>
  <c r="BX129" i="2" s="1"/>
  <c r="BC128" i="2"/>
  <c r="BX128" i="2" s="1"/>
  <c r="BC127" i="2"/>
  <c r="BX127" i="2" s="1"/>
  <c r="BC126" i="2"/>
  <c r="BX126" i="2" s="1"/>
  <c r="BC125" i="2"/>
  <c r="BX125" i="2" s="1"/>
  <c r="BC124" i="2"/>
  <c r="BX124" i="2" s="1"/>
  <c r="BC123" i="2"/>
  <c r="BX123" i="2" s="1"/>
  <c r="BC122" i="2"/>
  <c r="BX122" i="2" s="1"/>
  <c r="BC121" i="2"/>
  <c r="BX121" i="2" s="1"/>
  <c r="BC120" i="2"/>
  <c r="BX120" i="2" s="1"/>
  <c r="BC119" i="2"/>
  <c r="BX119" i="2" s="1"/>
  <c r="BC118" i="2"/>
  <c r="BX118" i="2" s="1"/>
  <c r="BC117" i="2"/>
  <c r="BX117" i="2" s="1"/>
  <c r="BC116" i="2"/>
  <c r="BX116" i="2" s="1"/>
  <c r="BC115" i="2"/>
  <c r="BX115" i="2" s="1"/>
  <c r="BC114" i="2"/>
  <c r="BX114" i="2" s="1"/>
  <c r="BC113" i="2"/>
  <c r="BX113" i="2" s="1"/>
  <c r="BC112" i="2"/>
  <c r="BX112" i="2" s="1"/>
  <c r="BC111" i="2"/>
  <c r="BX111" i="2" s="1"/>
  <c r="BC110" i="2"/>
  <c r="BX110" i="2" s="1"/>
  <c r="BC109" i="2"/>
  <c r="BX109" i="2" s="1"/>
  <c r="BC108" i="2"/>
  <c r="BX108" i="2" s="1"/>
  <c r="BC107" i="2"/>
  <c r="BX107" i="2" s="1"/>
  <c r="BC106" i="2"/>
  <c r="BX106" i="2" s="1"/>
  <c r="BC105" i="2"/>
  <c r="BX105" i="2" s="1"/>
  <c r="BC104" i="2"/>
  <c r="BX104" i="2" s="1"/>
  <c r="BC103" i="2"/>
  <c r="BX103" i="2" s="1"/>
  <c r="BC102" i="2"/>
  <c r="BX102" i="2" s="1"/>
  <c r="BC101" i="2"/>
  <c r="BX101" i="2" s="1"/>
  <c r="BC100" i="2"/>
  <c r="BX100" i="2" s="1"/>
  <c r="BC99" i="2"/>
  <c r="BX99" i="2" s="1"/>
  <c r="BC98" i="2"/>
  <c r="BX98" i="2" s="1"/>
  <c r="BC97" i="2"/>
  <c r="BX97" i="2" s="1"/>
  <c r="BC96" i="2"/>
  <c r="BX96" i="2" s="1"/>
  <c r="BC95" i="2"/>
  <c r="BX95" i="2" s="1"/>
  <c r="BC94" i="2"/>
  <c r="BX94" i="2" s="1"/>
  <c r="BC93" i="2"/>
  <c r="BX93" i="2" s="1"/>
  <c r="BC92" i="2"/>
  <c r="BX92" i="2" s="1"/>
  <c r="BC91" i="2"/>
  <c r="BX91" i="2" s="1"/>
  <c r="BC90" i="2"/>
  <c r="BX90" i="2" s="1"/>
  <c r="BC89" i="2"/>
  <c r="BX89" i="2" s="1"/>
  <c r="BC88" i="2"/>
  <c r="BX88" i="2" s="1"/>
  <c r="BC87" i="2"/>
  <c r="BX87" i="2" s="1"/>
  <c r="BC86" i="2"/>
  <c r="BX86" i="2" s="1"/>
  <c r="BC85" i="2"/>
  <c r="BX85" i="2" s="1"/>
  <c r="BC84" i="2"/>
  <c r="BX84" i="2" s="1"/>
  <c r="BC83" i="2"/>
  <c r="BX83" i="2" s="1"/>
  <c r="BC82" i="2"/>
  <c r="BX82" i="2" s="1"/>
  <c r="BC81" i="2"/>
  <c r="BX81" i="2" s="1"/>
  <c r="BC80" i="2"/>
  <c r="BX80" i="2" s="1"/>
  <c r="BC79" i="2"/>
  <c r="BX79" i="2" s="1"/>
  <c r="BC78" i="2"/>
  <c r="BX78" i="2" s="1"/>
  <c r="BC77" i="2"/>
  <c r="BX77" i="2" s="1"/>
  <c r="BC76" i="2"/>
  <c r="BX76" i="2" s="1"/>
  <c r="BC75" i="2"/>
  <c r="BX75" i="2" s="1"/>
  <c r="BC74" i="2"/>
  <c r="BX74" i="2" s="1"/>
  <c r="BC73" i="2"/>
  <c r="BX73" i="2" s="1"/>
  <c r="BC72" i="2"/>
  <c r="BX72" i="2" s="1"/>
  <c r="BC71" i="2"/>
  <c r="BX71" i="2" s="1"/>
  <c r="BC70" i="2"/>
  <c r="BX70" i="2" s="1"/>
  <c r="BC69" i="2"/>
  <c r="BX69" i="2" s="1"/>
  <c r="BC68" i="2"/>
  <c r="BX68" i="2" s="1"/>
  <c r="BC67" i="2"/>
  <c r="BX67" i="2" s="1"/>
  <c r="BC66" i="2"/>
  <c r="BX66" i="2" s="1"/>
  <c r="BC65" i="2"/>
  <c r="BX65" i="2" s="1"/>
  <c r="BC64" i="2"/>
  <c r="BX64" i="2" s="1"/>
  <c r="BC63" i="2"/>
  <c r="BX63" i="2" s="1"/>
  <c r="BC62" i="2"/>
  <c r="BX62" i="2" s="1"/>
  <c r="BC61" i="2"/>
  <c r="BX61" i="2" s="1"/>
  <c r="BC60" i="2"/>
  <c r="BX60" i="2" s="1"/>
  <c r="BC59" i="2"/>
  <c r="BX59" i="2" s="1"/>
  <c r="BC58" i="2"/>
  <c r="BX58" i="2" s="1"/>
  <c r="BC57" i="2"/>
  <c r="BX57" i="2" s="1"/>
  <c r="BC56" i="2"/>
  <c r="BX56" i="2" s="1"/>
  <c r="BC55" i="2"/>
  <c r="BX55" i="2" s="1"/>
  <c r="BC54" i="2"/>
  <c r="BX54" i="2" s="1"/>
  <c r="BC53" i="2"/>
  <c r="BX53" i="2" s="1"/>
  <c r="BC52" i="2"/>
  <c r="BX52" i="2" s="1"/>
  <c r="BC51" i="2"/>
  <c r="BX51" i="2" s="1"/>
  <c r="BC50" i="2"/>
  <c r="BX50" i="2" s="1"/>
  <c r="BC49" i="2"/>
  <c r="BX49" i="2" s="1"/>
  <c r="BC48" i="2"/>
  <c r="BX48" i="2" s="1"/>
  <c r="BC47" i="2"/>
  <c r="BX47" i="2" s="1"/>
  <c r="BC46" i="2"/>
  <c r="BX46" i="2" s="1"/>
  <c r="BC45" i="2"/>
  <c r="BX45" i="2" s="1"/>
  <c r="BC44" i="2"/>
  <c r="BX44" i="2" s="1"/>
  <c r="BC43" i="2"/>
  <c r="BX43" i="2" s="1"/>
  <c r="BC42" i="2"/>
  <c r="BX42" i="2" s="1"/>
  <c r="BC41" i="2"/>
  <c r="BX41" i="2" s="1"/>
  <c r="BC40" i="2"/>
  <c r="BX40" i="2" s="1"/>
  <c r="BC39" i="2"/>
  <c r="BX39" i="2" s="1"/>
  <c r="BC38" i="2"/>
  <c r="BX38" i="2" s="1"/>
  <c r="BC37" i="2"/>
  <c r="BX37" i="2" s="1"/>
  <c r="BC36" i="2"/>
  <c r="BX36" i="2" s="1"/>
  <c r="BC35" i="2"/>
  <c r="BX35" i="2" s="1"/>
  <c r="BC34" i="2"/>
  <c r="BX34" i="2" s="1"/>
  <c r="BC33" i="2"/>
  <c r="BX33" i="2" s="1"/>
  <c r="BC32" i="2"/>
  <c r="BX32" i="2" s="1"/>
  <c r="BC31" i="2"/>
  <c r="BX31" i="2" s="1"/>
  <c r="BC30" i="2"/>
  <c r="BX30" i="2" s="1"/>
  <c r="BC29" i="2"/>
  <c r="BX29" i="2" s="1"/>
  <c r="BC28" i="2"/>
  <c r="BX28" i="2" s="1"/>
  <c r="BC27" i="2"/>
  <c r="BX27" i="2" s="1"/>
  <c r="BC26" i="2"/>
  <c r="BX26" i="2" s="1"/>
  <c r="BC25" i="2"/>
  <c r="BX25" i="2" s="1"/>
  <c r="BC24" i="2"/>
  <c r="BX24" i="2" s="1"/>
  <c r="BC23" i="2"/>
  <c r="BX23" i="2" s="1"/>
  <c r="BC22" i="2"/>
  <c r="BX22" i="2" s="1"/>
  <c r="BC21" i="2"/>
  <c r="BX21" i="2" s="1"/>
  <c r="BC20" i="2"/>
  <c r="BX20" i="2" s="1"/>
  <c r="BC19" i="2"/>
  <c r="BX19" i="2" s="1"/>
  <c r="BC18" i="2"/>
  <c r="BX18" i="2" s="1"/>
  <c r="BC17" i="2"/>
  <c r="BX17" i="2" s="1"/>
  <c r="BC16" i="2"/>
  <c r="BX16" i="2" s="1"/>
  <c r="BC15" i="2"/>
  <c r="BX15" i="2" s="1"/>
  <c r="BC14" i="2"/>
  <c r="BX14" i="2" s="1"/>
  <c r="BC13" i="2"/>
  <c r="BX13" i="2" s="1"/>
  <c r="BC12" i="2"/>
  <c r="BX12" i="2" s="1"/>
  <c r="BC11" i="2"/>
  <c r="BX11" i="2" s="1"/>
  <c r="BC10" i="2"/>
  <c r="BX10" i="2" s="1"/>
  <c r="BC9" i="2"/>
  <c r="BX9" i="2" s="1"/>
  <c r="BC8" i="2"/>
  <c r="BX8" i="2" s="1"/>
  <c r="BC7" i="2"/>
  <c r="BX7" i="2" s="1"/>
  <c r="BC6" i="2"/>
  <c r="BX6" i="2" s="1"/>
  <c r="BC5" i="2"/>
  <c r="BX5" i="2" s="1"/>
  <c r="BC4" i="2"/>
  <c r="BX4" i="2" s="1"/>
  <c r="BR2" i="2"/>
  <c r="BC169" i="2" l="1"/>
  <c r="BB169" i="2"/>
  <c r="BA169" i="2"/>
  <c r="AZ169" i="2"/>
  <c r="AY169" i="2"/>
  <c r="AX169" i="2"/>
  <c r="AT169" i="2"/>
  <c r="AS169" i="2"/>
  <c r="AR169" i="2"/>
  <c r="AN169" i="2"/>
  <c r="AM169" i="2"/>
  <c r="AL169" i="2"/>
  <c r="AK169" i="2"/>
  <c r="AJ169" i="2"/>
  <c r="AI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BK168" i="2"/>
  <c r="BD168" i="2"/>
  <c r="AU168" i="2"/>
  <c r="AO168" i="2"/>
  <c r="AF168" i="2"/>
  <c r="L168" i="2"/>
  <c r="BK167" i="2"/>
  <c r="BD167" i="2"/>
  <c r="AU167" i="2"/>
  <c r="AO167" i="2"/>
  <c r="AF167" i="2"/>
  <c r="L167" i="2"/>
  <c r="BD166" i="2"/>
  <c r="AU166" i="2"/>
  <c r="AO166" i="2"/>
  <c r="AF166" i="2"/>
  <c r="L166" i="2"/>
  <c r="BK165" i="2"/>
  <c r="BD165" i="2"/>
  <c r="AU165" i="2"/>
  <c r="AO165" i="2"/>
  <c r="AF165" i="2"/>
  <c r="L165" i="2"/>
  <c r="BO164" i="2"/>
  <c r="BD164" i="2"/>
  <c r="AU164" i="2"/>
  <c r="AO164" i="2"/>
  <c r="AF164" i="2"/>
  <c r="L164" i="2"/>
  <c r="BK163" i="2"/>
  <c r="BD163" i="2"/>
  <c r="AU163" i="2"/>
  <c r="AO163" i="2"/>
  <c r="AF163" i="2"/>
  <c r="L163" i="2"/>
  <c r="BD162" i="2"/>
  <c r="AU162" i="2"/>
  <c r="AO162" i="2"/>
  <c r="AF162" i="2"/>
  <c r="L162" i="2"/>
  <c r="BD161" i="2"/>
  <c r="AU161" i="2"/>
  <c r="AO161" i="2"/>
  <c r="AF161" i="2"/>
  <c r="L161" i="2"/>
  <c r="BO160" i="2"/>
  <c r="BD160" i="2"/>
  <c r="AU160" i="2"/>
  <c r="AO160" i="2"/>
  <c r="AF160" i="2"/>
  <c r="L160" i="2"/>
  <c r="BO159" i="2"/>
  <c r="BD159" i="2"/>
  <c r="AU159" i="2"/>
  <c r="AO159" i="2"/>
  <c r="AF159" i="2"/>
  <c r="L159" i="2"/>
  <c r="BO158" i="2"/>
  <c r="BD158" i="2"/>
  <c r="AU158" i="2"/>
  <c r="AO158" i="2"/>
  <c r="AF158" i="2"/>
  <c r="L158" i="2"/>
  <c r="BO157" i="2"/>
  <c r="BD157" i="2"/>
  <c r="AU157" i="2"/>
  <c r="AO157" i="2"/>
  <c r="AF157" i="2"/>
  <c r="L157" i="2"/>
  <c r="BD156" i="2"/>
  <c r="AU156" i="2"/>
  <c r="AO156" i="2"/>
  <c r="AF156" i="2"/>
  <c r="L156" i="2"/>
  <c r="BO155" i="2"/>
  <c r="BD155" i="2"/>
  <c r="AU155" i="2"/>
  <c r="AO155" i="2"/>
  <c r="AF155" i="2"/>
  <c r="L155" i="2"/>
  <c r="BO154" i="2"/>
  <c r="BD154" i="2"/>
  <c r="AU154" i="2"/>
  <c r="AO154" i="2"/>
  <c r="AF154" i="2"/>
  <c r="L154" i="2"/>
  <c r="BO153" i="2"/>
  <c r="BD153" i="2"/>
  <c r="AU153" i="2"/>
  <c r="AO153" i="2"/>
  <c r="AF153" i="2"/>
  <c r="L153" i="2"/>
  <c r="BK152" i="2"/>
  <c r="BD152" i="2"/>
  <c r="AU152" i="2"/>
  <c r="AO152" i="2"/>
  <c r="AF152" i="2"/>
  <c r="L152" i="2"/>
  <c r="BD151" i="2"/>
  <c r="AU151" i="2"/>
  <c r="AO151" i="2"/>
  <c r="AF151" i="2"/>
  <c r="L151" i="2"/>
  <c r="BO150" i="2"/>
  <c r="BD150" i="2"/>
  <c r="AU150" i="2"/>
  <c r="AO150" i="2"/>
  <c r="AF150" i="2"/>
  <c r="L150" i="2"/>
  <c r="BK149" i="2"/>
  <c r="BD149" i="2"/>
  <c r="AU149" i="2"/>
  <c r="AO149" i="2"/>
  <c r="AF149" i="2"/>
  <c r="L149" i="2"/>
  <c r="BD148" i="2"/>
  <c r="AU148" i="2"/>
  <c r="AO148" i="2"/>
  <c r="AF148" i="2"/>
  <c r="L148" i="2"/>
  <c r="BK147" i="2"/>
  <c r="BD147" i="2"/>
  <c r="AU147" i="2"/>
  <c r="AO147" i="2"/>
  <c r="AF147" i="2"/>
  <c r="L147" i="2"/>
  <c r="BD146" i="2"/>
  <c r="AU146" i="2"/>
  <c r="AO146" i="2"/>
  <c r="AF146" i="2"/>
  <c r="L146" i="2"/>
  <c r="BD145" i="2"/>
  <c r="AU145" i="2"/>
  <c r="AO145" i="2"/>
  <c r="AF145" i="2"/>
  <c r="L145" i="2"/>
  <c r="BO144" i="2"/>
  <c r="BD144" i="2"/>
  <c r="AU144" i="2"/>
  <c r="AO144" i="2"/>
  <c r="AF144" i="2"/>
  <c r="L144" i="2"/>
  <c r="BO143" i="2"/>
  <c r="BD143" i="2"/>
  <c r="AU143" i="2"/>
  <c r="AO143" i="2"/>
  <c r="AF143" i="2"/>
  <c r="L143" i="2"/>
  <c r="BK142" i="2"/>
  <c r="BD142" i="2"/>
  <c r="AU142" i="2"/>
  <c r="AO142" i="2"/>
  <c r="AF142" i="2"/>
  <c r="L142" i="2"/>
  <c r="BO141" i="2"/>
  <c r="BD141" i="2"/>
  <c r="AU141" i="2"/>
  <c r="AO141" i="2"/>
  <c r="AF141" i="2"/>
  <c r="L141" i="2"/>
  <c r="BO140" i="2"/>
  <c r="BD140" i="2"/>
  <c r="AU140" i="2"/>
  <c r="AO140" i="2"/>
  <c r="AF140" i="2"/>
  <c r="L140" i="2"/>
  <c r="BO139" i="2"/>
  <c r="BD139" i="2"/>
  <c r="AU139" i="2"/>
  <c r="AO139" i="2"/>
  <c r="AF139" i="2"/>
  <c r="L139" i="2"/>
  <c r="BK138" i="2"/>
  <c r="BD138" i="2"/>
  <c r="AU138" i="2"/>
  <c r="AO138" i="2"/>
  <c r="AF138" i="2"/>
  <c r="L138" i="2"/>
  <c r="BK137" i="2"/>
  <c r="BD137" i="2"/>
  <c r="AU137" i="2"/>
  <c r="AO137" i="2"/>
  <c r="AF137" i="2"/>
  <c r="L137" i="2"/>
  <c r="BO136" i="2"/>
  <c r="BD136" i="2"/>
  <c r="AU136" i="2"/>
  <c r="AO136" i="2"/>
  <c r="AF136" i="2"/>
  <c r="L136" i="2"/>
  <c r="BK135" i="2"/>
  <c r="BD135" i="2"/>
  <c r="AU135" i="2"/>
  <c r="AO135" i="2"/>
  <c r="AF135" i="2"/>
  <c r="L135" i="2"/>
  <c r="BD134" i="2"/>
  <c r="AU134" i="2"/>
  <c r="AO134" i="2"/>
  <c r="AF134" i="2"/>
  <c r="L134" i="2"/>
  <c r="BK133" i="2"/>
  <c r="BD133" i="2"/>
  <c r="AU133" i="2"/>
  <c r="AO133" i="2"/>
  <c r="AF133" i="2"/>
  <c r="L133" i="2"/>
  <c r="BD132" i="2"/>
  <c r="AU132" i="2"/>
  <c r="AO132" i="2"/>
  <c r="AF132" i="2"/>
  <c r="L132" i="2"/>
  <c r="BO131" i="2"/>
  <c r="BD131" i="2"/>
  <c r="AU131" i="2"/>
  <c r="AO131" i="2"/>
  <c r="AF131" i="2"/>
  <c r="L131" i="2"/>
  <c r="BO130" i="2"/>
  <c r="BD130" i="2"/>
  <c r="AU130" i="2"/>
  <c r="AO130" i="2"/>
  <c r="AF130" i="2"/>
  <c r="L130" i="2"/>
  <c r="BD129" i="2"/>
  <c r="AU129" i="2"/>
  <c r="AO129" i="2"/>
  <c r="AF129" i="2"/>
  <c r="L129" i="2"/>
  <c r="BO128" i="2"/>
  <c r="BD128" i="2"/>
  <c r="AU128" i="2"/>
  <c r="AO128" i="2"/>
  <c r="AF128" i="2"/>
  <c r="L128" i="2"/>
  <c r="BO127" i="2"/>
  <c r="BD127" i="2"/>
  <c r="AU127" i="2"/>
  <c r="AO127" i="2"/>
  <c r="AF127" i="2"/>
  <c r="L127" i="2"/>
  <c r="BO126" i="2"/>
  <c r="BD126" i="2"/>
  <c r="AU126" i="2"/>
  <c r="AO126" i="2"/>
  <c r="AF126" i="2"/>
  <c r="L126" i="2"/>
  <c r="BO125" i="2"/>
  <c r="BD125" i="2"/>
  <c r="AU125" i="2"/>
  <c r="AO125" i="2"/>
  <c r="AF125" i="2"/>
  <c r="L125" i="2"/>
  <c r="BK124" i="2"/>
  <c r="BD124" i="2"/>
  <c r="AU124" i="2"/>
  <c r="AO124" i="2"/>
  <c r="AF124" i="2"/>
  <c r="L124" i="2"/>
  <c r="BK123" i="2"/>
  <c r="BD123" i="2"/>
  <c r="AU123" i="2"/>
  <c r="AO123" i="2"/>
  <c r="AF123" i="2"/>
  <c r="L123" i="2"/>
  <c r="BD122" i="2"/>
  <c r="AU122" i="2"/>
  <c r="AO122" i="2"/>
  <c r="AF122" i="2"/>
  <c r="L122" i="2"/>
  <c r="BD121" i="2"/>
  <c r="AU121" i="2"/>
  <c r="AO121" i="2"/>
  <c r="AF121" i="2"/>
  <c r="L121" i="2"/>
  <c r="BD120" i="2"/>
  <c r="AU120" i="2"/>
  <c r="AO120" i="2"/>
  <c r="AF120" i="2"/>
  <c r="L120" i="2"/>
  <c r="BK119" i="2"/>
  <c r="BD119" i="2"/>
  <c r="AU119" i="2"/>
  <c r="AO119" i="2"/>
  <c r="AF119" i="2"/>
  <c r="L119" i="2"/>
  <c r="BO118" i="2"/>
  <c r="BD118" i="2"/>
  <c r="AU118" i="2"/>
  <c r="AO118" i="2"/>
  <c r="AF118" i="2"/>
  <c r="L118" i="2"/>
  <c r="BO117" i="2"/>
  <c r="BD117" i="2"/>
  <c r="AU117" i="2"/>
  <c r="AO117" i="2"/>
  <c r="AF117" i="2"/>
  <c r="L117" i="2"/>
  <c r="BD116" i="2"/>
  <c r="AU116" i="2"/>
  <c r="AO116" i="2"/>
  <c r="AF116" i="2"/>
  <c r="L116" i="2"/>
  <c r="BO115" i="2"/>
  <c r="BD115" i="2"/>
  <c r="AU115" i="2"/>
  <c r="AO115" i="2"/>
  <c r="AF115" i="2"/>
  <c r="L115" i="2"/>
  <c r="BO114" i="2"/>
  <c r="BD114" i="2"/>
  <c r="AU114" i="2"/>
  <c r="AO114" i="2"/>
  <c r="AF114" i="2"/>
  <c r="L114" i="2"/>
  <c r="BO113" i="2"/>
  <c r="BD113" i="2"/>
  <c r="AU113" i="2"/>
  <c r="AO113" i="2"/>
  <c r="AF113" i="2"/>
  <c r="L113" i="2"/>
  <c r="BK112" i="2"/>
  <c r="BD112" i="2"/>
  <c r="AU112" i="2"/>
  <c r="AO112" i="2"/>
  <c r="AF112" i="2"/>
  <c r="L112" i="2"/>
  <c r="BO111" i="2"/>
  <c r="BD111" i="2"/>
  <c r="AU111" i="2"/>
  <c r="AO111" i="2"/>
  <c r="AF111" i="2"/>
  <c r="L111" i="2"/>
  <c r="BK110" i="2"/>
  <c r="BD110" i="2"/>
  <c r="AU110" i="2"/>
  <c r="AO110" i="2"/>
  <c r="AF110" i="2"/>
  <c r="L110" i="2"/>
  <c r="BK109" i="2"/>
  <c r="BD109" i="2"/>
  <c r="AU109" i="2"/>
  <c r="AO109" i="2"/>
  <c r="AF109" i="2"/>
  <c r="L109" i="2"/>
  <c r="BO108" i="2"/>
  <c r="BD108" i="2"/>
  <c r="AU108" i="2"/>
  <c r="AO108" i="2"/>
  <c r="AF108" i="2"/>
  <c r="L108" i="2"/>
  <c r="BD107" i="2"/>
  <c r="AU107" i="2"/>
  <c r="AO107" i="2"/>
  <c r="AF107" i="2"/>
  <c r="L107" i="2"/>
  <c r="BD106" i="2"/>
  <c r="AU106" i="2"/>
  <c r="AO106" i="2"/>
  <c r="AF106" i="2"/>
  <c r="L106" i="2"/>
  <c r="BK105" i="2"/>
  <c r="BD105" i="2"/>
  <c r="AU105" i="2"/>
  <c r="AO105" i="2"/>
  <c r="AF105" i="2"/>
  <c r="L105" i="2"/>
  <c r="BO104" i="2"/>
  <c r="BD104" i="2"/>
  <c r="AU104" i="2"/>
  <c r="AO104" i="2"/>
  <c r="AF104" i="2"/>
  <c r="L104" i="2"/>
  <c r="BO103" i="2"/>
  <c r="BD103" i="2"/>
  <c r="AU103" i="2"/>
  <c r="AO103" i="2"/>
  <c r="AF103" i="2"/>
  <c r="L103" i="2"/>
  <c r="BD102" i="2"/>
  <c r="AU102" i="2"/>
  <c r="AO102" i="2"/>
  <c r="AF102" i="2"/>
  <c r="L102" i="2"/>
  <c r="BD101" i="2"/>
  <c r="AU101" i="2"/>
  <c r="AO101" i="2"/>
  <c r="AF101" i="2"/>
  <c r="L101" i="2"/>
  <c r="BD100" i="2"/>
  <c r="AU100" i="2"/>
  <c r="AO100" i="2"/>
  <c r="AF100" i="2"/>
  <c r="L100" i="2"/>
  <c r="BD99" i="2"/>
  <c r="AU99" i="2"/>
  <c r="AO99" i="2"/>
  <c r="AF99" i="2"/>
  <c r="L99" i="2"/>
  <c r="BO98" i="2"/>
  <c r="BD98" i="2"/>
  <c r="AU98" i="2"/>
  <c r="AO98" i="2"/>
  <c r="AF98" i="2"/>
  <c r="L98" i="2"/>
  <c r="BO97" i="2"/>
  <c r="BD97" i="2"/>
  <c r="AU97" i="2"/>
  <c r="AO97" i="2"/>
  <c r="AF97" i="2"/>
  <c r="L97" i="2"/>
  <c r="BK96" i="2"/>
  <c r="BD96" i="2"/>
  <c r="AU96" i="2"/>
  <c r="AO96" i="2"/>
  <c r="AF96" i="2"/>
  <c r="L96" i="2"/>
  <c r="BK95" i="2"/>
  <c r="BD95" i="2"/>
  <c r="AU95" i="2"/>
  <c r="AO95" i="2"/>
  <c r="AF95" i="2"/>
  <c r="L95" i="2"/>
  <c r="BO94" i="2"/>
  <c r="BD94" i="2"/>
  <c r="AU94" i="2"/>
  <c r="AO94" i="2"/>
  <c r="AF94" i="2"/>
  <c r="L94" i="2"/>
  <c r="BD93" i="2"/>
  <c r="AU93" i="2"/>
  <c r="AO93" i="2"/>
  <c r="AF93" i="2"/>
  <c r="L93" i="2"/>
  <c r="BD92" i="2"/>
  <c r="AU92" i="2"/>
  <c r="AO92" i="2"/>
  <c r="AF92" i="2"/>
  <c r="L92" i="2"/>
  <c r="BO91" i="2"/>
  <c r="BD91" i="2"/>
  <c r="AU91" i="2"/>
  <c r="AO91" i="2"/>
  <c r="AF91" i="2"/>
  <c r="L91" i="2"/>
  <c r="BO90" i="2"/>
  <c r="BD90" i="2"/>
  <c r="AU90" i="2"/>
  <c r="AO90" i="2"/>
  <c r="AF90" i="2"/>
  <c r="L90" i="2"/>
  <c r="BO89" i="2"/>
  <c r="BD89" i="2"/>
  <c r="AU89" i="2"/>
  <c r="AO89" i="2"/>
  <c r="AF89" i="2"/>
  <c r="L89" i="2"/>
  <c r="BO88" i="2"/>
  <c r="BD88" i="2"/>
  <c r="AU88" i="2"/>
  <c r="AO88" i="2"/>
  <c r="AF88" i="2"/>
  <c r="L88" i="2"/>
  <c r="BO87" i="2"/>
  <c r="BD87" i="2"/>
  <c r="AU87" i="2"/>
  <c r="AO87" i="2"/>
  <c r="AF87" i="2"/>
  <c r="L87" i="2"/>
  <c r="BO86" i="2"/>
  <c r="BD86" i="2"/>
  <c r="AU86" i="2"/>
  <c r="AO86" i="2"/>
  <c r="AF86" i="2"/>
  <c r="L86" i="2"/>
  <c r="BO85" i="2"/>
  <c r="BD85" i="2"/>
  <c r="AU85" i="2"/>
  <c r="AO85" i="2"/>
  <c r="AF85" i="2"/>
  <c r="L85" i="2"/>
  <c r="BO84" i="2"/>
  <c r="BD84" i="2"/>
  <c r="AU84" i="2"/>
  <c r="AO84" i="2"/>
  <c r="AF84" i="2"/>
  <c r="L84" i="2"/>
  <c r="BO83" i="2"/>
  <c r="BD83" i="2"/>
  <c r="AU83" i="2"/>
  <c r="AO83" i="2"/>
  <c r="AF83" i="2"/>
  <c r="L83" i="2"/>
  <c r="BK82" i="2"/>
  <c r="BD82" i="2"/>
  <c r="AU82" i="2"/>
  <c r="AO82" i="2"/>
  <c r="AF82" i="2"/>
  <c r="L82" i="2"/>
  <c r="BK81" i="2"/>
  <c r="BD81" i="2"/>
  <c r="AU81" i="2"/>
  <c r="AO81" i="2"/>
  <c r="AF81" i="2"/>
  <c r="L81" i="2"/>
  <c r="BO80" i="2"/>
  <c r="BD80" i="2"/>
  <c r="AU80" i="2"/>
  <c r="AO80" i="2"/>
  <c r="AF80" i="2"/>
  <c r="L80" i="2"/>
  <c r="BD79" i="2"/>
  <c r="AU79" i="2"/>
  <c r="AO79" i="2"/>
  <c r="AF79" i="2"/>
  <c r="L79" i="2"/>
  <c r="BD78" i="2"/>
  <c r="AU78" i="2"/>
  <c r="AO78" i="2"/>
  <c r="AF78" i="2"/>
  <c r="L78" i="2"/>
  <c r="BO77" i="2"/>
  <c r="BD77" i="2"/>
  <c r="AU77" i="2"/>
  <c r="AO77" i="2"/>
  <c r="AF77" i="2"/>
  <c r="L77" i="2"/>
  <c r="BD76" i="2"/>
  <c r="AU76" i="2"/>
  <c r="AO76" i="2"/>
  <c r="AF76" i="2"/>
  <c r="L76" i="2"/>
  <c r="BD75" i="2"/>
  <c r="AU75" i="2"/>
  <c r="AO75" i="2"/>
  <c r="AF75" i="2"/>
  <c r="L75" i="2"/>
  <c r="BO74" i="2"/>
  <c r="BD74" i="2"/>
  <c r="AU74" i="2"/>
  <c r="AO74" i="2"/>
  <c r="AF74" i="2"/>
  <c r="L74" i="2"/>
  <c r="BO73" i="2"/>
  <c r="BD73" i="2"/>
  <c r="AU73" i="2"/>
  <c r="AO73" i="2"/>
  <c r="AF73" i="2"/>
  <c r="L73" i="2"/>
  <c r="BO72" i="2"/>
  <c r="BD72" i="2"/>
  <c r="AU72" i="2"/>
  <c r="AO72" i="2"/>
  <c r="AF72" i="2"/>
  <c r="L72" i="2"/>
  <c r="BO71" i="2"/>
  <c r="BD71" i="2"/>
  <c r="AU71" i="2"/>
  <c r="AO71" i="2"/>
  <c r="AF71" i="2"/>
  <c r="L71" i="2"/>
  <c r="BO70" i="2"/>
  <c r="BD70" i="2"/>
  <c r="AU70" i="2"/>
  <c r="AO70" i="2"/>
  <c r="AF70" i="2"/>
  <c r="L70" i="2"/>
  <c r="BK69" i="2"/>
  <c r="BD69" i="2"/>
  <c r="AU69" i="2"/>
  <c r="AO69" i="2"/>
  <c r="AF69" i="2"/>
  <c r="L69" i="2"/>
  <c r="BD68" i="2"/>
  <c r="AU68" i="2"/>
  <c r="AO68" i="2"/>
  <c r="AF68" i="2"/>
  <c r="L68" i="2"/>
  <c r="BK67" i="2"/>
  <c r="BD67" i="2"/>
  <c r="AU67" i="2"/>
  <c r="AO67" i="2"/>
  <c r="AF67" i="2"/>
  <c r="L67" i="2"/>
  <c r="BO66" i="2"/>
  <c r="BD66" i="2"/>
  <c r="AU66" i="2"/>
  <c r="AO66" i="2"/>
  <c r="AF66" i="2"/>
  <c r="L66" i="2"/>
  <c r="BD65" i="2"/>
  <c r="AU65" i="2"/>
  <c r="AO65" i="2"/>
  <c r="AF65" i="2"/>
  <c r="L65" i="2"/>
  <c r="BD64" i="2"/>
  <c r="AU64" i="2"/>
  <c r="AO64" i="2"/>
  <c r="AF64" i="2"/>
  <c r="L64" i="2"/>
  <c r="BK63" i="2"/>
  <c r="BD63" i="2"/>
  <c r="AU63" i="2"/>
  <c r="AO63" i="2"/>
  <c r="AF63" i="2"/>
  <c r="L63" i="2"/>
  <c r="BO62" i="2"/>
  <c r="BD62" i="2"/>
  <c r="AU62" i="2"/>
  <c r="AO62" i="2"/>
  <c r="AF62" i="2"/>
  <c r="L62" i="2"/>
  <c r="BO61" i="2"/>
  <c r="BD61" i="2"/>
  <c r="AU61" i="2"/>
  <c r="AO61" i="2"/>
  <c r="AF61" i="2"/>
  <c r="L61" i="2"/>
  <c r="BK60" i="2"/>
  <c r="BD60" i="2"/>
  <c r="AU60" i="2"/>
  <c r="AO60" i="2"/>
  <c r="AF60" i="2"/>
  <c r="L60" i="2"/>
  <c r="BO59" i="2"/>
  <c r="BD59" i="2"/>
  <c r="AU59" i="2"/>
  <c r="AO59" i="2"/>
  <c r="AF59" i="2"/>
  <c r="L59" i="2"/>
  <c r="BK58" i="2"/>
  <c r="BD58" i="2"/>
  <c r="AU58" i="2"/>
  <c r="AO58" i="2"/>
  <c r="AF58" i="2"/>
  <c r="L58" i="2"/>
  <c r="BO57" i="2"/>
  <c r="BD57" i="2"/>
  <c r="AU57" i="2"/>
  <c r="AO57" i="2"/>
  <c r="AF57" i="2"/>
  <c r="L57" i="2"/>
  <c r="BK56" i="2"/>
  <c r="BD56" i="2"/>
  <c r="AU56" i="2"/>
  <c r="AO56" i="2"/>
  <c r="AF56" i="2"/>
  <c r="L56" i="2"/>
  <c r="BO55" i="2"/>
  <c r="BD55" i="2"/>
  <c r="AU55" i="2"/>
  <c r="AO55" i="2"/>
  <c r="AF55" i="2"/>
  <c r="L55" i="2"/>
  <c r="BD54" i="2"/>
  <c r="AU54" i="2"/>
  <c r="AO54" i="2"/>
  <c r="AF54" i="2"/>
  <c r="L54" i="2"/>
  <c r="BK53" i="2"/>
  <c r="BD53" i="2"/>
  <c r="AU53" i="2"/>
  <c r="AO53" i="2"/>
  <c r="AF53" i="2"/>
  <c r="L53" i="2"/>
  <c r="BO52" i="2"/>
  <c r="BD52" i="2"/>
  <c r="AU52" i="2"/>
  <c r="AO52" i="2"/>
  <c r="AF52" i="2"/>
  <c r="L52" i="2"/>
  <c r="BD51" i="2"/>
  <c r="AU51" i="2"/>
  <c r="AO51" i="2"/>
  <c r="AF51" i="2"/>
  <c r="L51" i="2"/>
  <c r="BD50" i="2"/>
  <c r="AU50" i="2"/>
  <c r="AO50" i="2"/>
  <c r="AF50" i="2"/>
  <c r="L50" i="2"/>
  <c r="BD49" i="2"/>
  <c r="AU49" i="2"/>
  <c r="AO49" i="2"/>
  <c r="AF49" i="2"/>
  <c r="L49" i="2"/>
  <c r="BO48" i="2"/>
  <c r="BD48" i="2"/>
  <c r="AU48" i="2"/>
  <c r="AO48" i="2"/>
  <c r="AF48" i="2"/>
  <c r="L48" i="2"/>
  <c r="BO47" i="2"/>
  <c r="BD47" i="2"/>
  <c r="AU47" i="2"/>
  <c r="AO47" i="2"/>
  <c r="AF47" i="2"/>
  <c r="L47" i="2"/>
  <c r="BD46" i="2"/>
  <c r="AU46" i="2"/>
  <c r="AO46" i="2"/>
  <c r="AF46" i="2"/>
  <c r="L46" i="2"/>
  <c r="BO45" i="2"/>
  <c r="BD45" i="2"/>
  <c r="AU45" i="2"/>
  <c r="AO45" i="2"/>
  <c r="AF45" i="2"/>
  <c r="L45" i="2"/>
  <c r="BK44" i="2"/>
  <c r="BD44" i="2"/>
  <c r="AU44" i="2"/>
  <c r="AO44" i="2"/>
  <c r="AF44" i="2"/>
  <c r="L44" i="2"/>
  <c r="BK43" i="2"/>
  <c r="BD43" i="2"/>
  <c r="AU43" i="2"/>
  <c r="AO43" i="2"/>
  <c r="AF43" i="2"/>
  <c r="L43" i="2"/>
  <c r="BK42" i="2"/>
  <c r="BD42" i="2"/>
  <c r="AU42" i="2"/>
  <c r="AO42" i="2"/>
  <c r="AF42" i="2"/>
  <c r="L42" i="2"/>
  <c r="BO41" i="2"/>
  <c r="BD41" i="2"/>
  <c r="AU41" i="2"/>
  <c r="AO41" i="2"/>
  <c r="AF41" i="2"/>
  <c r="L41" i="2"/>
  <c r="BD40" i="2"/>
  <c r="AU40" i="2"/>
  <c r="AO40" i="2"/>
  <c r="AF40" i="2"/>
  <c r="L40" i="2"/>
  <c r="BK39" i="2"/>
  <c r="BD39" i="2"/>
  <c r="AU39" i="2"/>
  <c r="AO39" i="2"/>
  <c r="AF39" i="2"/>
  <c r="L39" i="2"/>
  <c r="BK38" i="2"/>
  <c r="BD38" i="2"/>
  <c r="AU38" i="2"/>
  <c r="AO38" i="2"/>
  <c r="AF38" i="2"/>
  <c r="L38" i="2"/>
  <c r="BD37" i="2"/>
  <c r="AU37" i="2"/>
  <c r="AO37" i="2"/>
  <c r="AF37" i="2"/>
  <c r="L37" i="2"/>
  <c r="BK36" i="2"/>
  <c r="BD36" i="2"/>
  <c r="AU36" i="2"/>
  <c r="AO36" i="2"/>
  <c r="AF36" i="2"/>
  <c r="L36" i="2"/>
  <c r="BK35" i="2"/>
  <c r="BD35" i="2"/>
  <c r="AU35" i="2"/>
  <c r="AO35" i="2"/>
  <c r="AF35" i="2"/>
  <c r="L35" i="2"/>
  <c r="BO34" i="2"/>
  <c r="BD34" i="2"/>
  <c r="AU34" i="2"/>
  <c r="AF34" i="2"/>
  <c r="L34" i="2"/>
  <c r="BO33" i="2"/>
  <c r="BD33" i="2"/>
  <c r="AU33" i="2"/>
  <c r="AO33" i="2"/>
  <c r="AF33" i="2"/>
  <c r="L33" i="2"/>
  <c r="BO32" i="2"/>
  <c r="BD32" i="2"/>
  <c r="AU32" i="2"/>
  <c r="AO32" i="2"/>
  <c r="AF32" i="2"/>
  <c r="L32" i="2"/>
  <c r="BK31" i="2"/>
  <c r="BD31" i="2"/>
  <c r="AU31" i="2"/>
  <c r="AO31" i="2"/>
  <c r="AF31" i="2"/>
  <c r="L31" i="2"/>
  <c r="BK30" i="2"/>
  <c r="BD30" i="2"/>
  <c r="AU30" i="2"/>
  <c r="AO30" i="2"/>
  <c r="AF30" i="2"/>
  <c r="L30" i="2"/>
  <c r="BO29" i="2"/>
  <c r="BD29" i="2"/>
  <c r="AU29" i="2"/>
  <c r="AO29" i="2"/>
  <c r="AF29" i="2"/>
  <c r="L29" i="2"/>
  <c r="BO28" i="2"/>
  <c r="BD28" i="2"/>
  <c r="AU28" i="2"/>
  <c r="AO28" i="2"/>
  <c r="AV28" i="2" s="1"/>
  <c r="AF28" i="2"/>
  <c r="L28" i="2"/>
  <c r="BD27" i="2"/>
  <c r="AU27" i="2"/>
  <c r="AO27" i="2"/>
  <c r="AF27" i="2"/>
  <c r="L27" i="2"/>
  <c r="BK26" i="2"/>
  <c r="BD26" i="2"/>
  <c r="AU26" i="2"/>
  <c r="AO26" i="2"/>
  <c r="AF26" i="2"/>
  <c r="L26" i="2"/>
  <c r="BK25" i="2"/>
  <c r="BD25" i="2"/>
  <c r="AU25" i="2"/>
  <c r="AO25" i="2"/>
  <c r="AF25" i="2"/>
  <c r="L25" i="2"/>
  <c r="BD24" i="2"/>
  <c r="AU24" i="2"/>
  <c r="AO24" i="2"/>
  <c r="AF24" i="2"/>
  <c r="L24" i="2"/>
  <c r="BD23" i="2"/>
  <c r="AU23" i="2"/>
  <c r="AO23" i="2"/>
  <c r="AF23" i="2"/>
  <c r="L23" i="2"/>
  <c r="BO22" i="2"/>
  <c r="BD22" i="2"/>
  <c r="AU22" i="2"/>
  <c r="AO22" i="2"/>
  <c r="AF22" i="2"/>
  <c r="L22" i="2"/>
  <c r="BD21" i="2"/>
  <c r="AU21" i="2"/>
  <c r="AO21" i="2"/>
  <c r="AF21" i="2"/>
  <c r="L21" i="2"/>
  <c r="BO20" i="2"/>
  <c r="BD20" i="2"/>
  <c r="AU20" i="2"/>
  <c r="AO20" i="2"/>
  <c r="AF20" i="2"/>
  <c r="L20" i="2"/>
  <c r="BO19" i="2"/>
  <c r="BD19" i="2"/>
  <c r="AU19" i="2"/>
  <c r="AO19" i="2"/>
  <c r="AF19" i="2"/>
  <c r="L19" i="2"/>
  <c r="BO18" i="2"/>
  <c r="BD18" i="2"/>
  <c r="AU18" i="2"/>
  <c r="AO18" i="2"/>
  <c r="AF18" i="2"/>
  <c r="L18" i="2"/>
  <c r="BK17" i="2"/>
  <c r="BD17" i="2"/>
  <c r="AU17" i="2"/>
  <c r="AO17" i="2"/>
  <c r="AF17" i="2"/>
  <c r="L17" i="2"/>
  <c r="BK16" i="2"/>
  <c r="BD16" i="2"/>
  <c r="AU16" i="2"/>
  <c r="AO16" i="2"/>
  <c r="AF16" i="2"/>
  <c r="L16" i="2"/>
  <c r="BO15" i="2"/>
  <c r="BD15" i="2"/>
  <c r="AU15" i="2"/>
  <c r="AO15" i="2"/>
  <c r="AF15" i="2"/>
  <c r="L15" i="2"/>
  <c r="BD14" i="2"/>
  <c r="AU14" i="2"/>
  <c r="AO14" i="2"/>
  <c r="AF14" i="2"/>
  <c r="L14" i="2"/>
  <c r="BO13" i="2"/>
  <c r="BD13" i="2"/>
  <c r="AU13" i="2"/>
  <c r="AO13" i="2"/>
  <c r="AF13" i="2"/>
  <c r="L13" i="2"/>
  <c r="BO12" i="2"/>
  <c r="BD12" i="2"/>
  <c r="AU12" i="2"/>
  <c r="AO12" i="2"/>
  <c r="AF12" i="2"/>
  <c r="L12" i="2"/>
  <c r="BO11" i="2"/>
  <c r="BD11" i="2"/>
  <c r="AU11" i="2"/>
  <c r="AO11" i="2"/>
  <c r="AF11" i="2"/>
  <c r="L11" i="2"/>
  <c r="BD10" i="2"/>
  <c r="AU10" i="2"/>
  <c r="AO10" i="2"/>
  <c r="AF10" i="2"/>
  <c r="L10" i="2"/>
  <c r="BK9" i="2"/>
  <c r="BD9" i="2"/>
  <c r="AU9" i="2"/>
  <c r="AO9" i="2"/>
  <c r="AF9" i="2"/>
  <c r="L9" i="2"/>
  <c r="BK8" i="2"/>
  <c r="BD8" i="2"/>
  <c r="AU8" i="2"/>
  <c r="AO8" i="2"/>
  <c r="AF8" i="2"/>
  <c r="L8" i="2"/>
  <c r="BK7" i="2"/>
  <c r="BD7" i="2"/>
  <c r="AU7" i="2"/>
  <c r="AO7" i="2"/>
  <c r="AF7" i="2"/>
  <c r="L7" i="2"/>
  <c r="BO6" i="2"/>
  <c r="BD6" i="2"/>
  <c r="AU6" i="2"/>
  <c r="AO6" i="2"/>
  <c r="AF6" i="2"/>
  <c r="L6" i="2"/>
  <c r="BO5" i="2"/>
  <c r="BD5" i="2"/>
  <c r="AU5" i="2"/>
  <c r="AO5" i="2"/>
  <c r="AF5" i="2"/>
  <c r="L5" i="2"/>
  <c r="BO4" i="2"/>
  <c r="BK4" i="2"/>
  <c r="BD4" i="2"/>
  <c r="AU4" i="2"/>
  <c r="AO4" i="2"/>
  <c r="AF4" i="2"/>
  <c r="L4" i="2"/>
  <c r="AV131" i="2" l="1"/>
  <c r="AV40" i="2"/>
  <c r="AV83" i="2"/>
  <c r="AV127" i="2"/>
  <c r="AV73" i="2"/>
  <c r="AV78" i="2"/>
  <c r="AV166" i="2"/>
  <c r="AV110" i="2"/>
  <c r="AV148" i="2"/>
  <c r="AV46" i="2"/>
  <c r="AV90" i="2"/>
  <c r="AV105" i="2"/>
  <c r="AV149" i="2"/>
  <c r="AV70" i="2"/>
  <c r="AV136" i="2"/>
  <c r="AV23" i="2"/>
  <c r="AV60" i="2"/>
  <c r="AV15" i="2"/>
  <c r="AV32" i="2"/>
  <c r="AV44" i="2"/>
  <c r="AV54" i="2"/>
  <c r="AV71" i="2"/>
  <c r="AV103" i="2"/>
  <c r="AV108" i="2"/>
  <c r="AV115" i="2"/>
  <c r="AV125" i="2"/>
  <c r="AV159" i="2"/>
  <c r="AV51" i="2"/>
  <c r="AV56" i="2"/>
  <c r="AV63" i="2"/>
  <c r="AV117" i="2"/>
  <c r="AV122" i="2"/>
  <c r="AV139" i="2"/>
  <c r="AV156" i="2"/>
  <c r="AV143" i="2"/>
  <c r="AV164" i="2"/>
  <c r="AV22" i="2"/>
  <c r="AV27" i="2"/>
  <c r="AV39" i="2"/>
  <c r="AV66" i="2"/>
  <c r="AV100" i="2"/>
  <c r="AV132" i="2"/>
  <c r="AV137" i="2"/>
  <c r="AV154" i="2"/>
  <c r="AV25" i="2"/>
  <c r="AV49" i="2"/>
  <c r="AV76" i="2"/>
  <c r="AV93" i="2"/>
  <c r="AV120" i="2"/>
  <c r="AV130" i="2"/>
  <c r="AV135" i="2"/>
  <c r="AV142" i="2"/>
  <c r="AV147" i="2"/>
  <c r="AV152" i="2"/>
  <c r="AV17" i="2"/>
  <c r="BP35" i="2"/>
  <c r="BF35" i="2"/>
  <c r="BP133" i="2"/>
  <c r="BF133" i="2"/>
  <c r="BP4" i="2"/>
  <c r="BF4" i="2"/>
  <c r="BP16" i="2"/>
  <c r="BF16" i="2"/>
  <c r="BP109" i="2"/>
  <c r="BF109" i="2"/>
  <c r="BP165" i="2"/>
  <c r="BF165" i="2"/>
  <c r="BP26" i="2"/>
  <c r="BF26" i="2"/>
  <c r="BP38" i="2"/>
  <c r="BF38" i="2"/>
  <c r="BP9" i="2"/>
  <c r="BF9" i="2"/>
  <c r="BP31" i="2"/>
  <c r="BF31" i="2"/>
  <c r="BP53" i="2"/>
  <c r="BF53" i="2"/>
  <c r="BP163" i="2"/>
  <c r="BF163" i="2"/>
  <c r="BP58" i="2"/>
  <c r="BF58" i="2"/>
  <c r="BP36" i="2"/>
  <c r="BF36" i="2"/>
  <c r="BP56" i="2"/>
  <c r="BF56" i="2"/>
  <c r="BP8" i="2"/>
  <c r="BF8" i="2"/>
  <c r="BP30" i="2"/>
  <c r="BF30" i="2"/>
  <c r="BP42" i="2"/>
  <c r="BF42" i="2"/>
  <c r="BP69" i="2"/>
  <c r="BF69" i="2"/>
  <c r="BP123" i="2"/>
  <c r="BF123" i="2"/>
  <c r="BP96" i="2"/>
  <c r="BF96" i="2"/>
  <c r="BP67" i="2"/>
  <c r="BF67" i="2"/>
  <c r="BP138" i="2"/>
  <c r="BF138" i="2"/>
  <c r="BP82" i="2"/>
  <c r="BF82" i="2"/>
  <c r="BP60" i="2"/>
  <c r="BF60" i="2"/>
  <c r="BP43" i="2"/>
  <c r="BF43" i="2"/>
  <c r="BP124" i="2"/>
  <c r="BF124" i="2"/>
  <c r="BP119" i="2"/>
  <c r="BF119" i="2"/>
  <c r="BP168" i="2"/>
  <c r="BF168" i="2"/>
  <c r="BP7" i="2"/>
  <c r="BF7" i="2"/>
  <c r="BP112" i="2"/>
  <c r="BF112" i="2"/>
  <c r="BP63" i="2"/>
  <c r="BF63" i="2"/>
  <c r="BP17" i="2"/>
  <c r="BF17" i="2"/>
  <c r="BP105" i="2"/>
  <c r="BF105" i="2"/>
  <c r="BP110" i="2"/>
  <c r="BF110" i="2"/>
  <c r="BP149" i="2"/>
  <c r="BF149" i="2"/>
  <c r="BP39" i="2"/>
  <c r="BF39" i="2"/>
  <c r="BP137" i="2"/>
  <c r="BF137" i="2"/>
  <c r="BP44" i="2"/>
  <c r="BF44" i="2"/>
  <c r="BP81" i="2"/>
  <c r="BF81" i="2"/>
  <c r="BP167" i="2"/>
  <c r="BF167" i="2"/>
  <c r="BP95" i="2"/>
  <c r="BF95" i="2"/>
  <c r="BP25" i="2"/>
  <c r="BF25" i="2"/>
  <c r="BP135" i="2"/>
  <c r="BF135" i="2"/>
  <c r="BP142" i="2"/>
  <c r="BF142" i="2"/>
  <c r="BP147" i="2"/>
  <c r="BF147" i="2"/>
  <c r="BP152" i="2"/>
  <c r="BF152" i="2"/>
  <c r="AV47" i="2"/>
  <c r="AV79" i="2"/>
  <c r="AV118" i="2"/>
  <c r="AV162" i="2"/>
  <c r="AV14" i="2"/>
  <c r="AV48" i="2"/>
  <c r="AV58" i="2"/>
  <c r="AV102" i="2"/>
  <c r="AV107" i="2"/>
  <c r="AV119" i="2"/>
  <c r="AV141" i="2"/>
  <c r="AV34" i="2"/>
  <c r="AV16" i="2"/>
  <c r="AV45" i="2"/>
  <c r="AV50" i="2"/>
  <c r="AV72" i="2"/>
  <c r="AV77" i="2"/>
  <c r="AV82" i="2"/>
  <c r="AV89" i="2"/>
  <c r="AV94" i="2"/>
  <c r="AV104" i="2"/>
  <c r="AV109" i="2"/>
  <c r="AV116" i="2"/>
  <c r="AV121" i="2"/>
  <c r="AV126" i="2"/>
  <c r="AV165" i="2"/>
  <c r="AV38" i="2"/>
  <c r="AV168" i="2"/>
  <c r="AV8" i="2"/>
  <c r="AV20" i="2"/>
  <c r="AV30" i="2"/>
  <c r="AV37" i="2"/>
  <c r="AV42" i="2"/>
  <c r="AV52" i="2"/>
  <c r="AV69" i="2"/>
  <c r="AV98" i="2"/>
  <c r="AV123" i="2"/>
  <c r="AV157" i="2"/>
  <c r="AV13" i="2"/>
  <c r="AV57" i="2"/>
  <c r="AV64" i="2"/>
  <c r="AV140" i="2"/>
  <c r="AV6" i="2"/>
  <c r="AV18" i="2"/>
  <c r="AV35" i="2"/>
  <c r="AV74" i="2"/>
  <c r="AV84" i="2"/>
  <c r="AV91" i="2"/>
  <c r="AV96" i="2"/>
  <c r="AV101" i="2"/>
  <c r="AV106" i="2"/>
  <c r="AV111" i="2"/>
  <c r="AV128" i="2"/>
  <c r="AV150" i="2"/>
  <c r="AV7" i="2"/>
  <c r="AV24" i="2"/>
  <c r="AV29" i="2"/>
  <c r="AV36" i="2"/>
  <c r="AV41" i="2"/>
  <c r="AV75" i="2"/>
  <c r="AV85" i="2"/>
  <c r="AV92" i="2"/>
  <c r="AV97" i="2"/>
  <c r="AV112" i="2"/>
  <c r="AV129" i="2"/>
  <c r="AV134" i="2"/>
  <c r="AV146" i="2"/>
  <c r="AV55" i="2"/>
  <c r="AV62" i="2"/>
  <c r="AV67" i="2"/>
  <c r="AV138" i="2"/>
  <c r="AV145" i="2"/>
  <c r="AV155" i="2"/>
  <c r="AV9" i="2"/>
  <c r="AV21" i="2"/>
  <c r="AV31" i="2"/>
  <c r="AV43" i="2"/>
  <c r="AV53" i="2"/>
  <c r="AV65" i="2"/>
  <c r="AV80" i="2"/>
  <c r="AV87" i="2"/>
  <c r="AV99" i="2"/>
  <c r="AV114" i="2"/>
  <c r="AV124" i="2"/>
  <c r="AV158" i="2"/>
  <c r="AV163" i="2"/>
  <c r="AV4" i="2"/>
  <c r="BJ126" i="2"/>
  <c r="BG126" i="2" s="1"/>
  <c r="AV10" i="2"/>
  <c r="BJ13" i="2"/>
  <c r="BG13" i="2" s="1"/>
  <c r="BJ28" i="2"/>
  <c r="BG28" i="2" s="1"/>
  <c r="AV61" i="2"/>
  <c r="AV59" i="2"/>
  <c r="BJ29" i="2"/>
  <c r="BG29" i="2" s="1"/>
  <c r="BO38" i="2"/>
  <c r="AV113" i="2"/>
  <c r="AV160" i="2"/>
  <c r="AV167" i="2"/>
  <c r="AV11" i="2"/>
  <c r="AV81" i="2"/>
  <c r="AV88" i="2"/>
  <c r="AV144" i="2"/>
  <c r="BJ63" i="2"/>
  <c r="BG63" i="2" s="1"/>
  <c r="AV5" i="2"/>
  <c r="AV12" i="2"/>
  <c r="AV19" i="2"/>
  <c r="AV26" i="2"/>
  <c r="AV33" i="2"/>
  <c r="AV133" i="2"/>
  <c r="AV86" i="2"/>
  <c r="BJ77" i="2"/>
  <c r="BJ104" i="2"/>
  <c r="BG104" i="2" s="1"/>
  <c r="BJ81" i="2"/>
  <c r="BG81" i="2" s="1"/>
  <c r="BJ88" i="2"/>
  <c r="BG88" i="2" s="1"/>
  <c r="AV95" i="2"/>
  <c r="BJ113" i="2"/>
  <c r="BG113" i="2" s="1"/>
  <c r="BJ43" i="2"/>
  <c r="BG43" i="2" s="1"/>
  <c r="BJ50" i="2"/>
  <c r="BK52" i="2"/>
  <c r="BJ25" i="2"/>
  <c r="BG25" i="2" s="1"/>
  <c r="BJ57" i="2"/>
  <c r="BG57" i="2" s="1"/>
  <c r="BK59" i="2"/>
  <c r="BJ86" i="2"/>
  <c r="BG86" i="2" s="1"/>
  <c r="BJ95" i="2"/>
  <c r="BG95" i="2" s="1"/>
  <c r="BJ158" i="2"/>
  <c r="BG158" i="2" s="1"/>
  <c r="BJ165" i="2"/>
  <c r="BG165" i="2" s="1"/>
  <c r="BJ7" i="2"/>
  <c r="BG7" i="2" s="1"/>
  <c r="BJ14" i="2"/>
  <c r="BG14" i="2" s="1"/>
  <c r="BJ129" i="2"/>
  <c r="BG129" i="2" s="1"/>
  <c r="BK131" i="2"/>
  <c r="BO142" i="2"/>
  <c r="BJ84" i="2"/>
  <c r="BG84" i="2" s="1"/>
  <c r="BJ147" i="2"/>
  <c r="BG147" i="2" s="1"/>
  <c r="BJ156" i="2"/>
  <c r="BG156" i="2" s="1"/>
  <c r="BJ161" i="2"/>
  <c r="BG161" i="2" s="1"/>
  <c r="BO7" i="2"/>
  <c r="BJ23" i="2"/>
  <c r="BG23" i="2" s="1"/>
  <c r="BJ30" i="2"/>
  <c r="BJ127" i="2"/>
  <c r="BG127" i="2" s="1"/>
  <c r="BJ62" i="2"/>
  <c r="BG62" i="2" s="1"/>
  <c r="BJ89" i="2"/>
  <c r="BJ105" i="2"/>
  <c r="BG105" i="2" s="1"/>
  <c r="BJ114" i="2"/>
  <c r="BJ145" i="2"/>
  <c r="BG145" i="2" s="1"/>
  <c r="BJ44" i="2"/>
  <c r="BG44" i="2" s="1"/>
  <c r="BJ78" i="2"/>
  <c r="BG78" i="2" s="1"/>
  <c r="BK80" i="2"/>
  <c r="BJ112" i="2"/>
  <c r="BG112" i="2" s="1"/>
  <c r="BO123" i="2"/>
  <c r="BK125" i="2"/>
  <c r="BJ42" i="2"/>
  <c r="BG42" i="2" s="1"/>
  <c r="BJ58" i="2"/>
  <c r="BG58" i="2" s="1"/>
  <c r="BJ60" i="2"/>
  <c r="BG60" i="2" s="1"/>
  <c r="BJ67" i="2"/>
  <c r="BG67" i="2" s="1"/>
  <c r="BO69" i="2"/>
  <c r="BJ87" i="2"/>
  <c r="BG87" i="2" s="1"/>
  <c r="BO152" i="2"/>
  <c r="AV161" i="2"/>
  <c r="BK19" i="2"/>
  <c r="BO112" i="2"/>
  <c r="BJ130" i="2"/>
  <c r="BG130" i="2" s="1"/>
  <c r="BJ141" i="2"/>
  <c r="BJ8" i="2"/>
  <c r="BG8" i="2" s="1"/>
  <c r="BJ36" i="2"/>
  <c r="BG36" i="2" s="1"/>
  <c r="BO42" i="2"/>
  <c r="BJ72" i="2"/>
  <c r="BG72" i="2" s="1"/>
  <c r="BJ85" i="2"/>
  <c r="BG85" i="2" s="1"/>
  <c r="BK94" i="2"/>
  <c r="BJ117" i="2"/>
  <c r="BG117" i="2" s="1"/>
  <c r="BO119" i="2"/>
  <c r="BK139" i="2"/>
  <c r="BJ157" i="2"/>
  <c r="BJ6" i="2"/>
  <c r="BG6" i="2" s="1"/>
  <c r="BJ24" i="2"/>
  <c r="BG24" i="2" s="1"/>
  <c r="BJ38" i="2"/>
  <c r="BG38" i="2" s="1"/>
  <c r="BK74" i="2"/>
  <c r="BJ101" i="2"/>
  <c r="BG101" i="2" s="1"/>
  <c r="BJ18" i="2"/>
  <c r="BG18" i="2" s="1"/>
  <c r="AV68" i="2"/>
  <c r="BJ115" i="2"/>
  <c r="AV151" i="2"/>
  <c r="AV153" i="2"/>
  <c r="BJ155" i="2"/>
  <c r="BG155" i="2" s="1"/>
  <c r="BO23" i="2"/>
  <c r="BK23" i="2"/>
  <c r="BK98" i="2"/>
  <c r="BK114" i="2"/>
  <c r="BK127" i="2"/>
  <c r="BO21" i="2"/>
  <c r="BK21" i="2"/>
  <c r="BK37" i="2"/>
  <c r="BO37" i="2"/>
  <c r="BK66" i="2"/>
  <c r="BO156" i="2"/>
  <c r="BK156" i="2"/>
  <c r="BK154" i="2"/>
  <c r="BK33" i="2"/>
  <c r="BK141" i="2"/>
  <c r="BO44" i="2"/>
  <c r="BK71" i="2"/>
  <c r="BO122" i="2"/>
  <c r="BK122" i="2"/>
  <c r="BK166" i="2"/>
  <c r="BO166" i="2"/>
  <c r="BO9" i="2"/>
  <c r="BK84" i="2"/>
  <c r="BO16" i="2"/>
  <c r="BK164" i="2"/>
  <c r="BO151" i="2"/>
  <c r="BK151" i="2"/>
  <c r="BK68" i="2"/>
  <c r="BO68" i="2"/>
  <c r="BO46" i="2"/>
  <c r="BK46" i="2"/>
  <c r="BK86" i="2"/>
  <c r="BO14" i="2"/>
  <c r="BK14" i="2"/>
  <c r="BO116" i="2"/>
  <c r="BK116" i="2"/>
  <c r="BK111" i="2"/>
  <c r="BK118" i="2"/>
  <c r="BK158" i="2"/>
  <c r="BK6" i="2"/>
  <c r="BO56" i="2"/>
  <c r="BO58" i="2"/>
  <c r="BK73" i="2"/>
  <c r="BK32" i="2"/>
  <c r="BO60" i="2"/>
  <c r="BK77" i="2"/>
  <c r="BK143" i="2"/>
  <c r="BK153" i="2"/>
  <c r="BK83" i="2"/>
  <c r="BK113" i="2"/>
  <c r="BK130" i="2"/>
  <c r="BO43" i="2"/>
  <c r="BO81" i="2"/>
  <c r="BK20" i="2"/>
  <c r="BO67" i="2"/>
  <c r="BK85" i="2"/>
  <c r="BJ125" i="2"/>
  <c r="BG125" i="2" s="1"/>
  <c r="BK155" i="2"/>
  <c r="BK55" i="2"/>
  <c r="BK72" i="2"/>
  <c r="BK48" i="2"/>
  <c r="BK136" i="2"/>
  <c r="BO147" i="2"/>
  <c r="BK160" i="2"/>
  <c r="BK18" i="2"/>
  <c r="BO30" i="2"/>
  <c r="BK41" i="2"/>
  <c r="BO105" i="2"/>
  <c r="BO109" i="2"/>
  <c r="BK70" i="2"/>
  <c r="BK91" i="2"/>
  <c r="BO95" i="2"/>
  <c r="BO124" i="2"/>
  <c r="BO168" i="2"/>
  <c r="BK97" i="2"/>
  <c r="BK140" i="2"/>
  <c r="BO8" i="2"/>
  <c r="BK115" i="2"/>
  <c r="BK126" i="2"/>
  <c r="BK45" i="2"/>
  <c r="BJ144" i="2"/>
  <c r="BG144" i="2" s="1"/>
  <c r="BK150" i="2"/>
  <c r="BK34" i="2"/>
  <c r="BO53" i="2"/>
  <c r="BJ102" i="2"/>
  <c r="BG102" i="2" s="1"/>
  <c r="BK108" i="2"/>
  <c r="BK157" i="2"/>
  <c r="BO165" i="2"/>
  <c r="BO17" i="2"/>
  <c r="BK22" i="2"/>
  <c r="BK47" i="2"/>
  <c r="BK117" i="2"/>
  <c r="BK159" i="2"/>
  <c r="BO167" i="2"/>
  <c r="BO39" i="2"/>
  <c r="BJ16" i="2"/>
  <c r="BG16" i="2" s="1"/>
  <c r="BJ122" i="2"/>
  <c r="BG122" i="2" s="1"/>
  <c r="BJ37" i="2"/>
  <c r="BG37" i="2" s="1"/>
  <c r="BO96" i="2"/>
  <c r="BO133" i="2"/>
  <c r="BO137" i="2"/>
  <c r="BJ99" i="2"/>
  <c r="BG99" i="2" s="1"/>
  <c r="BJ27" i="2"/>
  <c r="BG27" i="2" s="1"/>
  <c r="BJ20" i="2"/>
  <c r="BG20" i="2" s="1"/>
  <c r="BJ159" i="2"/>
  <c r="BG159" i="2" s="1"/>
  <c r="BJ146" i="2"/>
  <c r="BG146" i="2" s="1"/>
  <c r="BJ103" i="2"/>
  <c r="BG103" i="2" s="1"/>
  <c r="BJ128" i="2"/>
  <c r="BG128" i="2" s="1"/>
  <c r="BJ49" i="2"/>
  <c r="BG49" i="2" s="1"/>
  <c r="BJ97" i="2"/>
  <c r="BG97" i="2" s="1"/>
  <c r="BJ168" i="2"/>
  <c r="BG168" i="2" s="1"/>
  <c r="BJ33" i="2"/>
  <c r="BG33" i="2" s="1"/>
  <c r="BK12" i="2"/>
  <c r="BJ61" i="2"/>
  <c r="BG61" i="2" s="1"/>
  <c r="BO92" i="2"/>
  <c r="BK92" i="2"/>
  <c r="BJ118" i="2"/>
  <c r="BG118" i="2" s="1"/>
  <c r="BD169" i="2"/>
  <c r="BK29" i="2"/>
  <c r="BJ11" i="2"/>
  <c r="BG11" i="2" s="1"/>
  <c r="BO27" i="2"/>
  <c r="BK27" i="2"/>
  <c r="BJ34" i="2"/>
  <c r="BG34" i="2" s="1"/>
  <c r="BJ26" i="2"/>
  <c r="BG26" i="2" s="1"/>
  <c r="BJ41" i="2"/>
  <c r="BG41" i="2" s="1"/>
  <c r="BJ69" i="2"/>
  <c r="BG69" i="2" s="1"/>
  <c r="BJ76" i="2"/>
  <c r="BG76" i="2" s="1"/>
  <c r="BJ106" i="2"/>
  <c r="BG106" i="2" s="1"/>
  <c r="BO35" i="2"/>
  <c r="BK103" i="2"/>
  <c r="AU169" i="2"/>
  <c r="BJ15" i="2"/>
  <c r="BG15" i="2" s="1"/>
  <c r="BJ91" i="2"/>
  <c r="BG91" i="2" s="1"/>
  <c r="BO49" i="2"/>
  <c r="BK49" i="2"/>
  <c r="BK57" i="2"/>
  <c r="BJ71" i="2"/>
  <c r="BG71" i="2" s="1"/>
  <c r="BJ109" i="2"/>
  <c r="BG109" i="2" s="1"/>
  <c r="BJ31" i="2"/>
  <c r="BG31" i="2" s="1"/>
  <c r="BJ48" i="2"/>
  <c r="BG48" i="2" s="1"/>
  <c r="BK89" i="2"/>
  <c r="BJ93" i="2"/>
  <c r="BG93" i="2" s="1"/>
  <c r="BJ120" i="2"/>
  <c r="BG120" i="2" s="1"/>
  <c r="BJ137" i="2"/>
  <c r="BG137" i="2" s="1"/>
  <c r="BO138" i="2"/>
  <c r="BK5" i="2"/>
  <c r="BJ22" i="2"/>
  <c r="BG22" i="2" s="1"/>
  <c r="BJ56" i="2"/>
  <c r="BG56" i="2" s="1"/>
  <c r="BJ59" i="2"/>
  <c r="BG59" i="2" s="1"/>
  <c r="BJ164" i="2"/>
  <c r="BG164" i="2" s="1"/>
  <c r="BJ82" i="2"/>
  <c r="BG82" i="2" s="1"/>
  <c r="BJ98" i="2"/>
  <c r="BG98" i="2" s="1"/>
  <c r="BO129" i="2"/>
  <c r="BK129" i="2"/>
  <c r="BJ65" i="2"/>
  <c r="BG65" i="2" s="1"/>
  <c r="BO100" i="2"/>
  <c r="BK100" i="2"/>
  <c r="BJ17" i="2"/>
  <c r="BG17" i="2" s="1"/>
  <c r="BK54" i="2"/>
  <c r="BO54" i="2"/>
  <c r="BO76" i="2"/>
  <c r="BK76" i="2"/>
  <c r="BJ167" i="2"/>
  <c r="BG167" i="2" s="1"/>
  <c r="BJ55" i="2"/>
  <c r="BG55" i="2" s="1"/>
  <c r="BO63" i="2"/>
  <c r="BJ160" i="2"/>
  <c r="BG160" i="2" s="1"/>
  <c r="BJ4" i="2"/>
  <c r="BG4" i="2" s="1"/>
  <c r="BJ10" i="2"/>
  <c r="BG10" i="2" s="1"/>
  <c r="BK28" i="2"/>
  <c r="BO25" i="2"/>
  <c r="BJ70" i="2"/>
  <c r="BG70" i="2" s="1"/>
  <c r="BJ74" i="2"/>
  <c r="BG74" i="2" s="1"/>
  <c r="BK88" i="2"/>
  <c r="BO120" i="2"/>
  <c r="BK120" i="2"/>
  <c r="BJ124" i="2"/>
  <c r="BG124" i="2" s="1"/>
  <c r="BJ148" i="2"/>
  <c r="BG148" i="2" s="1"/>
  <c r="BJ45" i="2"/>
  <c r="BG45" i="2" s="1"/>
  <c r="BK15" i="2"/>
  <c r="BJ151" i="2"/>
  <c r="BG151" i="2" s="1"/>
  <c r="BI169" i="2"/>
  <c r="BJ21" i="2"/>
  <c r="BG21" i="2" s="1"/>
  <c r="BJ35" i="2"/>
  <c r="BG35" i="2" s="1"/>
  <c r="BK40" i="2"/>
  <c r="BO40" i="2"/>
  <c r="BK104" i="2"/>
  <c r="BJ32" i="2"/>
  <c r="BG32" i="2" s="1"/>
  <c r="BO132" i="2"/>
  <c r="BK132" i="2"/>
  <c r="BJ100" i="2"/>
  <c r="BG100" i="2" s="1"/>
  <c r="BO110" i="2"/>
  <c r="BK11" i="2"/>
  <c r="BO26" i="2"/>
  <c r="BO10" i="2"/>
  <c r="BK10" i="2"/>
  <c r="BJ12" i="2"/>
  <c r="BG12" i="2" s="1"/>
  <c r="BJ9" i="2"/>
  <c r="BG9" i="2" s="1"/>
  <c r="BK13" i="2"/>
  <c r="BJ19" i="2"/>
  <c r="BG19" i="2" s="1"/>
  <c r="BO24" i="2"/>
  <c r="BK24" i="2"/>
  <c r="BO31" i="2"/>
  <c r="BO36" i="2"/>
  <c r="BJ39" i="2"/>
  <c r="BG39" i="2" s="1"/>
  <c r="BO50" i="2"/>
  <c r="BK50" i="2"/>
  <c r="BJ52" i="2"/>
  <c r="BG52" i="2" s="1"/>
  <c r="BJ79" i="2"/>
  <c r="BG79" i="2" s="1"/>
  <c r="BK87" i="2"/>
  <c r="BJ90" i="2"/>
  <c r="BG90" i="2" s="1"/>
  <c r="BO146" i="2"/>
  <c r="BK146" i="2"/>
  <c r="BO162" i="2"/>
  <c r="BK162" i="2"/>
  <c r="BJ143" i="2"/>
  <c r="BG143" i="2" s="1"/>
  <c r="BK161" i="2"/>
  <c r="BO161" i="2"/>
  <c r="BJ75" i="2"/>
  <c r="BG75" i="2" s="1"/>
  <c r="BK79" i="2"/>
  <c r="BO79" i="2"/>
  <c r="BO99" i="2"/>
  <c r="BK99" i="2"/>
  <c r="BO106" i="2"/>
  <c r="BK106" i="2"/>
  <c r="BJ108" i="2"/>
  <c r="BG108" i="2" s="1"/>
  <c r="BO102" i="2"/>
  <c r="BK102" i="2"/>
  <c r="BO145" i="2"/>
  <c r="BK145" i="2"/>
  <c r="BJ54" i="2"/>
  <c r="BG54" i="2" s="1"/>
  <c r="BJ46" i="2"/>
  <c r="BG46" i="2" s="1"/>
  <c r="BK65" i="2"/>
  <c r="BO65" i="2"/>
  <c r="BK62" i="2"/>
  <c r="BO75" i="2"/>
  <c r="BK75" i="2"/>
  <c r="BK128" i="2"/>
  <c r="BJ163" i="2"/>
  <c r="BG163" i="2" s="1"/>
  <c r="BJ47" i="2"/>
  <c r="BG47" i="2" s="1"/>
  <c r="BJ68" i="2"/>
  <c r="BG68" i="2" s="1"/>
  <c r="BJ64" i="2"/>
  <c r="BG64" i="2" s="1"/>
  <c r="BJ136" i="2"/>
  <c r="BG136" i="2" s="1"/>
  <c r="BK51" i="2"/>
  <c r="BO51" i="2"/>
  <c r="BK61" i="2"/>
  <c r="BJ73" i="2"/>
  <c r="BG73" i="2" s="1"/>
  <c r="BO78" i="2"/>
  <c r="BK78" i="2"/>
  <c r="BJ80" i="2"/>
  <c r="BG80" i="2" s="1"/>
  <c r="BO82" i="2"/>
  <c r="BJ92" i="2"/>
  <c r="BG92" i="2" s="1"/>
  <c r="BK93" i="2"/>
  <c r="BO93" i="2"/>
  <c r="BJ96" i="2"/>
  <c r="BG96" i="2" s="1"/>
  <c r="BJ107" i="2"/>
  <c r="BG107" i="2" s="1"/>
  <c r="BJ119" i="2"/>
  <c r="BG119" i="2" s="1"/>
  <c r="BJ123" i="2"/>
  <c r="BG123" i="2" s="1"/>
  <c r="BJ133" i="2"/>
  <c r="BG133" i="2" s="1"/>
  <c r="BO134" i="2"/>
  <c r="BK134" i="2"/>
  <c r="BK121" i="2"/>
  <c r="BO121" i="2"/>
  <c r="AF169" i="2"/>
  <c r="AO169" i="2"/>
  <c r="BJ5" i="2"/>
  <c r="BG5" i="2" s="1"/>
  <c r="BJ53" i="2"/>
  <c r="BG53" i="2" s="1"/>
  <c r="BK90" i="2"/>
  <c r="BO101" i="2"/>
  <c r="BK101" i="2"/>
  <c r="BJ116" i="2"/>
  <c r="BG116" i="2" s="1"/>
  <c r="BJ131" i="2"/>
  <c r="BG131" i="2" s="1"/>
  <c r="BJ138" i="2"/>
  <c r="BG138" i="2" s="1"/>
  <c r="BJ152" i="2"/>
  <c r="BG152" i="2" s="1"/>
  <c r="BJ132" i="2"/>
  <c r="BG132" i="2" s="1"/>
  <c r="BJ134" i="2"/>
  <c r="BG134" i="2" s="1"/>
  <c r="BJ149" i="2"/>
  <c r="BG149" i="2" s="1"/>
  <c r="BJ154" i="2"/>
  <c r="BG154" i="2" s="1"/>
  <c r="BJ153" i="2"/>
  <c r="BG153" i="2" s="1"/>
  <c r="BJ140" i="2"/>
  <c r="BG140" i="2" s="1"/>
  <c r="BJ40" i="2"/>
  <c r="BG40" i="2" s="1"/>
  <c r="BJ51" i="2"/>
  <c r="BG51" i="2" s="1"/>
  <c r="BJ135" i="2"/>
  <c r="BG135" i="2" s="1"/>
  <c r="BJ139" i="2"/>
  <c r="BG139" i="2" s="1"/>
  <c r="BO64" i="2"/>
  <c r="BK64" i="2"/>
  <c r="BJ94" i="2"/>
  <c r="BG94" i="2" s="1"/>
  <c r="BJ111" i="2"/>
  <c r="BG111" i="2" s="1"/>
  <c r="BK144" i="2"/>
  <c r="BJ150" i="2"/>
  <c r="BG150" i="2" s="1"/>
  <c r="BJ166" i="2"/>
  <c r="BG166" i="2" s="1"/>
  <c r="BK107" i="2"/>
  <c r="BO107" i="2"/>
  <c r="BJ121" i="2"/>
  <c r="BG121" i="2" s="1"/>
  <c r="BJ142" i="2"/>
  <c r="BG142" i="2" s="1"/>
  <c r="BO148" i="2"/>
  <c r="BK148" i="2"/>
  <c r="BJ162" i="2"/>
  <c r="BG162" i="2" s="1"/>
  <c r="BJ66" i="2"/>
  <c r="BG66" i="2" s="1"/>
  <c r="BJ83" i="2"/>
  <c r="BG83" i="2" s="1"/>
  <c r="BJ110" i="2"/>
  <c r="BG110" i="2" s="1"/>
  <c r="BO135" i="2"/>
  <c r="BO149" i="2"/>
  <c r="BO163" i="2"/>
  <c r="BG141" i="2" l="1"/>
  <c r="BH141" i="2"/>
  <c r="BH167" i="2"/>
  <c r="BP10" i="2"/>
  <c r="BF10" i="2"/>
  <c r="BP33" i="2"/>
  <c r="BF33" i="2"/>
  <c r="BP107" i="2"/>
  <c r="BF107" i="2"/>
  <c r="BP150" i="2"/>
  <c r="BF150" i="2"/>
  <c r="BP20" i="2"/>
  <c r="BF20" i="2"/>
  <c r="BP6" i="2"/>
  <c r="BF6" i="2"/>
  <c r="BP156" i="2"/>
  <c r="BF156" i="2"/>
  <c r="BH77" i="2"/>
  <c r="BN77" i="2" s="1"/>
  <c r="BG77" i="2"/>
  <c r="BP12" i="2"/>
  <c r="BF12" i="2"/>
  <c r="BP155" i="2"/>
  <c r="BF155" i="2"/>
  <c r="BP32" i="2"/>
  <c r="BF32" i="2"/>
  <c r="BP23" i="2"/>
  <c r="BF23" i="2"/>
  <c r="BP139" i="2"/>
  <c r="BF139" i="2"/>
  <c r="BH114" i="2"/>
  <c r="BN114" i="2" s="1"/>
  <c r="BG114" i="2"/>
  <c r="BP128" i="2"/>
  <c r="BF128" i="2"/>
  <c r="BP87" i="2"/>
  <c r="BF87" i="2"/>
  <c r="BP141" i="2"/>
  <c r="BF141" i="2"/>
  <c r="BP75" i="2"/>
  <c r="BF75" i="2"/>
  <c r="BP85" i="2"/>
  <c r="BF85" i="2"/>
  <c r="BP68" i="2"/>
  <c r="BF68" i="2"/>
  <c r="BP15" i="2"/>
  <c r="BF15" i="2"/>
  <c r="BP34" i="2"/>
  <c r="BF34" i="2"/>
  <c r="BP154" i="2"/>
  <c r="BF154" i="2"/>
  <c r="BP78" i="2"/>
  <c r="BF78" i="2"/>
  <c r="BP62" i="2"/>
  <c r="BF62" i="2"/>
  <c r="BP50" i="2"/>
  <c r="BF50" i="2"/>
  <c r="BP11" i="2"/>
  <c r="BF11" i="2"/>
  <c r="BP121" i="2"/>
  <c r="BF121" i="2"/>
  <c r="BP27" i="2"/>
  <c r="BF27" i="2"/>
  <c r="BP41" i="2"/>
  <c r="BF41" i="2"/>
  <c r="BP158" i="2"/>
  <c r="BF158" i="2"/>
  <c r="BP144" i="2"/>
  <c r="BF144" i="2"/>
  <c r="BP134" i="2"/>
  <c r="BF134" i="2"/>
  <c r="BP65" i="2"/>
  <c r="BF65" i="2"/>
  <c r="BP118" i="2"/>
  <c r="BF118" i="2"/>
  <c r="BP66" i="2"/>
  <c r="BF66" i="2"/>
  <c r="BP61" i="2"/>
  <c r="BF61" i="2"/>
  <c r="BP76" i="2"/>
  <c r="BF76" i="2"/>
  <c r="BP18" i="2"/>
  <c r="BF18" i="2"/>
  <c r="BP84" i="2"/>
  <c r="BF84" i="2"/>
  <c r="BP161" i="2"/>
  <c r="BF161" i="2"/>
  <c r="BP29" i="2"/>
  <c r="BF29" i="2"/>
  <c r="BP117" i="2"/>
  <c r="BF117" i="2"/>
  <c r="BP115" i="2"/>
  <c r="BF115" i="2"/>
  <c r="BP160" i="2"/>
  <c r="BF160" i="2"/>
  <c r="BP113" i="2"/>
  <c r="BF113" i="2"/>
  <c r="BP116" i="2"/>
  <c r="BF116" i="2"/>
  <c r="BP37" i="2"/>
  <c r="BF37" i="2"/>
  <c r="BP145" i="2"/>
  <c r="BF145" i="2"/>
  <c r="BP47" i="2"/>
  <c r="BF47" i="2"/>
  <c r="BP21" i="2"/>
  <c r="BF21" i="2"/>
  <c r="BP74" i="2"/>
  <c r="BF74" i="2"/>
  <c r="BP104" i="2"/>
  <c r="BF104" i="2"/>
  <c r="BP54" i="2"/>
  <c r="BF54" i="2"/>
  <c r="BP140" i="2"/>
  <c r="BF140" i="2"/>
  <c r="BP153" i="2"/>
  <c r="BF153" i="2"/>
  <c r="BP166" i="2"/>
  <c r="BF166" i="2"/>
  <c r="BP80" i="2"/>
  <c r="BF80" i="2"/>
  <c r="BP52" i="2"/>
  <c r="BF52" i="2"/>
  <c r="BP101" i="2"/>
  <c r="BF101" i="2"/>
  <c r="BP102" i="2"/>
  <c r="BF102" i="2"/>
  <c r="BP97" i="2"/>
  <c r="BF97" i="2"/>
  <c r="BP86" i="2"/>
  <c r="BF86" i="2"/>
  <c r="BP93" i="2"/>
  <c r="BF93" i="2"/>
  <c r="BP106" i="2"/>
  <c r="BF106" i="2"/>
  <c r="BP89" i="2"/>
  <c r="BF89" i="2"/>
  <c r="BP108" i="2"/>
  <c r="BF108" i="2"/>
  <c r="BP129" i="2"/>
  <c r="BF129" i="2"/>
  <c r="BP91" i="2"/>
  <c r="BF91" i="2"/>
  <c r="BP73" i="2"/>
  <c r="BF73" i="2"/>
  <c r="BP99" i="2"/>
  <c r="BF99" i="2"/>
  <c r="BP70" i="2"/>
  <c r="BF70" i="2"/>
  <c r="BH89" i="2"/>
  <c r="BN89" i="2" s="1"/>
  <c r="BG89" i="2"/>
  <c r="BP151" i="2"/>
  <c r="BF151" i="2"/>
  <c r="BP94" i="2"/>
  <c r="BF94" i="2"/>
  <c r="BP79" i="2"/>
  <c r="BF79" i="2"/>
  <c r="BP57" i="2"/>
  <c r="BF57" i="2"/>
  <c r="BP164" i="2"/>
  <c r="BF164" i="2"/>
  <c r="BH115" i="2"/>
  <c r="BN115" i="2" s="1"/>
  <c r="BG115" i="2"/>
  <c r="BH30" i="2"/>
  <c r="BN30" i="2" s="1"/>
  <c r="BQ30" i="2" s="1"/>
  <c r="BS30" i="2" s="1"/>
  <c r="BG30" i="2"/>
  <c r="BP49" i="2"/>
  <c r="BF49" i="2"/>
  <c r="BP45" i="2"/>
  <c r="BF45" i="2"/>
  <c r="BP132" i="2"/>
  <c r="BF132" i="2"/>
  <c r="BP120" i="2"/>
  <c r="BF120" i="2"/>
  <c r="BP159" i="2"/>
  <c r="BF159" i="2"/>
  <c r="BP126" i="2"/>
  <c r="BF126" i="2"/>
  <c r="BP130" i="2"/>
  <c r="BF130" i="2"/>
  <c r="BP111" i="2"/>
  <c r="BF111" i="2"/>
  <c r="BP125" i="2"/>
  <c r="BF125" i="2"/>
  <c r="BP59" i="2"/>
  <c r="BF59" i="2"/>
  <c r="BP64" i="2"/>
  <c r="BF64" i="2"/>
  <c r="BP51" i="2"/>
  <c r="BF51" i="2"/>
  <c r="BP24" i="2"/>
  <c r="BF24" i="2"/>
  <c r="BP88" i="2"/>
  <c r="BF88" i="2"/>
  <c r="BP5" i="2"/>
  <c r="BF5" i="2"/>
  <c r="BP83" i="2"/>
  <c r="BF83" i="2"/>
  <c r="BP162" i="2"/>
  <c r="BF162" i="2"/>
  <c r="BP22" i="2"/>
  <c r="BF22" i="2"/>
  <c r="BP136" i="2"/>
  <c r="BF136" i="2"/>
  <c r="BP14" i="2"/>
  <c r="BF14" i="2"/>
  <c r="BP103" i="2"/>
  <c r="BF103" i="2"/>
  <c r="BP92" i="2"/>
  <c r="BF92" i="2"/>
  <c r="BP48" i="2"/>
  <c r="BF48" i="2"/>
  <c r="BP143" i="2"/>
  <c r="BF143" i="2"/>
  <c r="BP122" i="2"/>
  <c r="BF122" i="2"/>
  <c r="BP127" i="2"/>
  <c r="BF127" i="2"/>
  <c r="BH50" i="2"/>
  <c r="BN50" i="2" s="1"/>
  <c r="BG50" i="2"/>
  <c r="BP148" i="2"/>
  <c r="BF148" i="2"/>
  <c r="BP146" i="2"/>
  <c r="BF146" i="2"/>
  <c r="BP13" i="2"/>
  <c r="BF13" i="2"/>
  <c r="BP40" i="2"/>
  <c r="BF40" i="2"/>
  <c r="BP100" i="2"/>
  <c r="BF100" i="2"/>
  <c r="BP72" i="2"/>
  <c r="BF72" i="2"/>
  <c r="BP77" i="2"/>
  <c r="BF77" i="2"/>
  <c r="BP114" i="2"/>
  <c r="BF114" i="2"/>
  <c r="BP19" i="2"/>
  <c r="BF19" i="2"/>
  <c r="BP90" i="2"/>
  <c r="BF90" i="2"/>
  <c r="BP28" i="2"/>
  <c r="BF28" i="2"/>
  <c r="BP157" i="2"/>
  <c r="BF157" i="2"/>
  <c r="BP55" i="2"/>
  <c r="BF55" i="2"/>
  <c r="BP46" i="2"/>
  <c r="BF46" i="2"/>
  <c r="BP71" i="2"/>
  <c r="BF71" i="2"/>
  <c r="BP98" i="2"/>
  <c r="BF98" i="2"/>
  <c r="BH157" i="2"/>
  <c r="BN157" i="2" s="1"/>
  <c r="BG157" i="2"/>
  <c r="BP131" i="2"/>
  <c r="BF131" i="2"/>
  <c r="BH126" i="2"/>
  <c r="BL126" i="2" s="1"/>
  <c r="BH138" i="2"/>
  <c r="BN138" i="2" s="1"/>
  <c r="BQ138" i="2" s="1"/>
  <c r="BS138" i="2" s="1"/>
  <c r="BH91" i="2"/>
  <c r="BN91" i="2" s="1"/>
  <c r="BH95" i="2"/>
  <c r="BN95" i="2" s="1"/>
  <c r="BQ95" i="2" s="1"/>
  <c r="BS95" i="2" s="1"/>
  <c r="BH13" i="2"/>
  <c r="BN13" i="2" s="1"/>
  <c r="BH65" i="2"/>
  <c r="BN65" i="2" s="1"/>
  <c r="BH58" i="2"/>
  <c r="BL58" i="2" s="1"/>
  <c r="BH45" i="2"/>
  <c r="BN45" i="2" s="1"/>
  <c r="BH160" i="2"/>
  <c r="BN160" i="2" s="1"/>
  <c r="BH29" i="2"/>
  <c r="BN29" i="2" s="1"/>
  <c r="BH112" i="2"/>
  <c r="BL112" i="2" s="1"/>
  <c r="BH28" i="2"/>
  <c r="BN28" i="2" s="1"/>
  <c r="BH81" i="2"/>
  <c r="BL81" i="2" s="1"/>
  <c r="BH21" i="2"/>
  <c r="BL21" i="2" s="1"/>
  <c r="BH143" i="2"/>
  <c r="BL143" i="2" s="1"/>
  <c r="BH43" i="2"/>
  <c r="BN43" i="2" s="1"/>
  <c r="BQ43" i="2" s="1"/>
  <c r="BS43" i="2" s="1"/>
  <c r="BH40" i="2"/>
  <c r="BL40" i="2" s="1"/>
  <c r="BH124" i="2"/>
  <c r="BN124" i="2" s="1"/>
  <c r="BQ124" i="2" s="1"/>
  <c r="BS124" i="2" s="1"/>
  <c r="BH105" i="2"/>
  <c r="BN105" i="2" s="1"/>
  <c r="BQ105" i="2" s="1"/>
  <c r="BS105" i="2" s="1"/>
  <c r="BH117" i="2"/>
  <c r="BL117" i="2" s="1"/>
  <c r="BH19" i="2"/>
  <c r="BN19" i="2" s="1"/>
  <c r="BH118" i="2"/>
  <c r="BN118" i="2" s="1"/>
  <c r="BH158" i="2"/>
  <c r="BN158" i="2" s="1"/>
  <c r="BH155" i="2"/>
  <c r="BL155" i="2" s="1"/>
  <c r="BH129" i="2"/>
  <c r="BN129" i="2" s="1"/>
  <c r="BH80" i="2"/>
  <c r="BL80" i="2" s="1"/>
  <c r="BH164" i="2"/>
  <c r="BL164" i="2" s="1"/>
  <c r="BH44" i="2"/>
  <c r="BL44" i="2" s="1"/>
  <c r="BH33" i="2"/>
  <c r="BN33" i="2" s="1"/>
  <c r="BH24" i="2"/>
  <c r="BN24" i="2" s="1"/>
  <c r="BH72" i="2"/>
  <c r="BL72" i="2" s="1"/>
  <c r="AV169" i="2"/>
  <c r="BH84" i="2"/>
  <c r="BN84" i="2" s="1"/>
  <c r="BH63" i="2"/>
  <c r="BN63" i="2" s="1"/>
  <c r="BQ63" i="2" s="1"/>
  <c r="BS63" i="2" s="1"/>
  <c r="BH85" i="2"/>
  <c r="BN85" i="2" s="1"/>
  <c r="BH67" i="2"/>
  <c r="BN67" i="2" s="1"/>
  <c r="BQ67" i="2" s="1"/>
  <c r="BS67" i="2" s="1"/>
  <c r="BH60" i="2"/>
  <c r="BN60" i="2" s="1"/>
  <c r="BQ60" i="2" s="1"/>
  <c r="BS60" i="2" s="1"/>
  <c r="BH127" i="2"/>
  <c r="BL127" i="2" s="1"/>
  <c r="BH7" i="2"/>
  <c r="BN7" i="2" s="1"/>
  <c r="BQ7" i="2" s="1"/>
  <c r="BH68" i="2"/>
  <c r="BN68" i="2" s="1"/>
  <c r="BH87" i="2"/>
  <c r="BN87" i="2" s="1"/>
  <c r="BH88" i="2"/>
  <c r="BN88" i="2" s="1"/>
  <c r="BH104" i="2"/>
  <c r="BN104" i="2" s="1"/>
  <c r="BH147" i="2"/>
  <c r="BL147" i="2" s="1"/>
  <c r="BH78" i="2"/>
  <c r="BN78" i="2" s="1"/>
  <c r="BH165" i="2"/>
  <c r="BL165" i="2" s="1"/>
  <c r="BH145" i="2"/>
  <c r="BN145" i="2" s="1"/>
  <c r="BH152" i="2"/>
  <c r="BL152" i="2" s="1"/>
  <c r="BH99" i="2"/>
  <c r="BN99" i="2" s="1"/>
  <c r="BH17" i="2"/>
  <c r="BN17" i="2" s="1"/>
  <c r="BQ17" i="2" s="1"/>
  <c r="BS17" i="2" s="1"/>
  <c r="BH69" i="2"/>
  <c r="BN69" i="2" s="1"/>
  <c r="BQ69" i="2" s="1"/>
  <c r="BS69" i="2" s="1"/>
  <c r="BH86" i="2"/>
  <c r="BN86" i="2" s="1"/>
  <c r="BH161" i="2"/>
  <c r="BH8" i="2"/>
  <c r="BL8" i="2" s="1"/>
  <c r="BH18" i="2"/>
  <c r="BN18" i="2" s="1"/>
  <c r="BH27" i="2"/>
  <c r="BL27" i="2" s="1"/>
  <c r="BH25" i="2"/>
  <c r="BN25" i="2" s="1"/>
  <c r="BQ25" i="2" s="1"/>
  <c r="BS25" i="2" s="1"/>
  <c r="BH57" i="2"/>
  <c r="BN57" i="2" s="1"/>
  <c r="BH14" i="2"/>
  <c r="BN14" i="2" s="1"/>
  <c r="BH23" i="2"/>
  <c r="BL23" i="2" s="1"/>
  <c r="BH42" i="2"/>
  <c r="BN42" i="2" s="1"/>
  <c r="BQ42" i="2" s="1"/>
  <c r="BS42" i="2" s="1"/>
  <c r="BH130" i="2"/>
  <c r="BN130" i="2" s="1"/>
  <c r="BH156" i="2"/>
  <c r="BN156" i="2" s="1"/>
  <c r="BH113" i="2"/>
  <c r="BN113" i="2" s="1"/>
  <c r="BH38" i="2"/>
  <c r="BL38" i="2" s="1"/>
  <c r="BH125" i="2"/>
  <c r="BL125" i="2" s="1"/>
  <c r="BH101" i="2"/>
  <c r="BN101" i="2" s="1"/>
  <c r="BH79" i="2"/>
  <c r="BL79" i="2" s="1"/>
  <c r="BH36" i="2"/>
  <c r="BN36" i="2" s="1"/>
  <c r="BQ36" i="2" s="1"/>
  <c r="BS36" i="2" s="1"/>
  <c r="BH82" i="2"/>
  <c r="BL82" i="2" s="1"/>
  <c r="BH62" i="2"/>
  <c r="BN62" i="2" s="1"/>
  <c r="BH20" i="2"/>
  <c r="BL20" i="2" s="1"/>
  <c r="BH54" i="2"/>
  <c r="BN54" i="2" s="1"/>
  <c r="BH32" i="2"/>
  <c r="BL32" i="2" s="1"/>
  <c r="BH41" i="2"/>
  <c r="BN41" i="2" s="1"/>
  <c r="BH93" i="2"/>
  <c r="BL93" i="2" s="1"/>
  <c r="BH6" i="2"/>
  <c r="BL6" i="2" s="1"/>
  <c r="BH122" i="2"/>
  <c r="BL122" i="2" s="1"/>
  <c r="BH37" i="2"/>
  <c r="BN37" i="2" s="1"/>
  <c r="BH131" i="2"/>
  <c r="BN131" i="2" s="1"/>
  <c r="BH16" i="2"/>
  <c r="BN16" i="2" s="1"/>
  <c r="BQ16" i="2" s="1"/>
  <c r="BS16" i="2" s="1"/>
  <c r="BH103" i="2"/>
  <c r="BN103" i="2" s="1"/>
  <c r="BH144" i="2"/>
  <c r="BN144" i="2" s="1"/>
  <c r="BH102" i="2"/>
  <c r="BL102" i="2" s="1"/>
  <c r="BH26" i="2"/>
  <c r="BN26" i="2" s="1"/>
  <c r="BQ26" i="2" s="1"/>
  <c r="BS26" i="2" s="1"/>
  <c r="BH5" i="2"/>
  <c r="BL5" i="2" s="1"/>
  <c r="BH96" i="2"/>
  <c r="BN96" i="2" s="1"/>
  <c r="BQ96" i="2" s="1"/>
  <c r="BS96" i="2" s="1"/>
  <c r="BH136" i="2"/>
  <c r="BL136" i="2" s="1"/>
  <c r="BH59" i="2"/>
  <c r="BL59" i="2" s="1"/>
  <c r="BH64" i="2"/>
  <c r="BL64" i="2" s="1"/>
  <c r="BH48" i="2"/>
  <c r="BN48" i="2" s="1"/>
  <c r="BH56" i="2"/>
  <c r="BL56" i="2" s="1"/>
  <c r="BH31" i="2"/>
  <c r="BN31" i="2" s="1"/>
  <c r="BQ31" i="2" s="1"/>
  <c r="BS31" i="2" s="1"/>
  <c r="BH166" i="2"/>
  <c r="BL166" i="2" s="1"/>
  <c r="BH4" i="2"/>
  <c r="BN4" i="2" s="1"/>
  <c r="BQ4" i="2" s="1"/>
  <c r="BH135" i="2"/>
  <c r="BN135" i="2" s="1"/>
  <c r="BQ135" i="2" s="1"/>
  <c r="BS135" i="2" s="1"/>
  <c r="BH142" i="2"/>
  <c r="BN142" i="2" s="1"/>
  <c r="BQ142" i="2" s="1"/>
  <c r="BS142" i="2" s="1"/>
  <c r="BH146" i="2"/>
  <c r="BH128" i="2"/>
  <c r="BN128" i="2" s="1"/>
  <c r="BH163" i="2"/>
  <c r="BN163" i="2" s="1"/>
  <c r="BQ163" i="2" s="1"/>
  <c r="BS163" i="2" s="1"/>
  <c r="BH52" i="2"/>
  <c r="BL52" i="2" s="1"/>
  <c r="BH49" i="2"/>
  <c r="BN49" i="2" s="1"/>
  <c r="BH39" i="2"/>
  <c r="BL39" i="2" s="1"/>
  <c r="BH74" i="2"/>
  <c r="BL74" i="2" s="1"/>
  <c r="BH9" i="2"/>
  <c r="BL9" i="2" s="1"/>
  <c r="BH70" i="2"/>
  <c r="BL70" i="2" s="1"/>
  <c r="BH15" i="2"/>
  <c r="BN15" i="2" s="1"/>
  <c r="BH139" i="2"/>
  <c r="BN139" i="2" s="1"/>
  <c r="BH92" i="2"/>
  <c r="BL92" i="2" s="1"/>
  <c r="BH109" i="2"/>
  <c r="BL109" i="2" s="1"/>
  <c r="BH149" i="2"/>
  <c r="BN149" i="2" s="1"/>
  <c r="BQ149" i="2" s="1"/>
  <c r="BS149" i="2" s="1"/>
  <c r="BH153" i="2"/>
  <c r="BN153" i="2" s="1"/>
  <c r="BH116" i="2"/>
  <c r="BL116" i="2" s="1"/>
  <c r="BH137" i="2"/>
  <c r="BL137" i="2" s="1"/>
  <c r="BH108" i="2"/>
  <c r="BL108" i="2" s="1"/>
  <c r="BH83" i="2"/>
  <c r="BL83" i="2" s="1"/>
  <c r="BH134" i="2"/>
  <c r="BL134" i="2" s="1"/>
  <c r="BH151" i="2"/>
  <c r="BN151" i="2" s="1"/>
  <c r="BH120" i="2"/>
  <c r="BL120" i="2" s="1"/>
  <c r="BH53" i="2"/>
  <c r="BL53" i="2" s="1"/>
  <c r="BH98" i="2"/>
  <c r="BN98" i="2" s="1"/>
  <c r="BH76" i="2"/>
  <c r="BN76" i="2" s="1"/>
  <c r="BH123" i="2"/>
  <c r="BL123" i="2" s="1"/>
  <c r="BH168" i="2"/>
  <c r="BL168" i="2" s="1"/>
  <c r="BH119" i="2"/>
  <c r="BN119" i="2" s="1"/>
  <c r="BQ119" i="2" s="1"/>
  <c r="BS119" i="2" s="1"/>
  <c r="BH35" i="2"/>
  <c r="BN35" i="2" s="1"/>
  <c r="BQ35" i="2" s="1"/>
  <c r="BS35" i="2" s="1"/>
  <c r="BH97" i="2"/>
  <c r="BN97" i="2" s="1"/>
  <c r="BH111" i="2"/>
  <c r="BN111" i="2" s="1"/>
  <c r="BH107" i="2"/>
  <c r="BN107" i="2" s="1"/>
  <c r="BH22" i="2"/>
  <c r="BN22" i="2" s="1"/>
  <c r="BH73" i="2"/>
  <c r="BL73" i="2" s="1"/>
  <c r="BH94" i="2"/>
  <c r="BN94" i="2" s="1"/>
  <c r="BH140" i="2"/>
  <c r="BL140" i="2" s="1"/>
  <c r="BH75" i="2"/>
  <c r="BN75" i="2" s="1"/>
  <c r="BH90" i="2"/>
  <c r="BN90" i="2" s="1"/>
  <c r="BH100" i="2"/>
  <c r="BL100" i="2" s="1"/>
  <c r="BH55" i="2"/>
  <c r="BN55" i="2" s="1"/>
  <c r="BH10" i="2"/>
  <c r="BN10" i="2" s="1"/>
  <c r="BH34" i="2"/>
  <c r="BL34" i="2" s="1"/>
  <c r="BH159" i="2"/>
  <c r="BH61" i="2"/>
  <c r="BL61" i="2" s="1"/>
  <c r="BH154" i="2"/>
  <c r="BL154" i="2" s="1"/>
  <c r="BH12" i="2"/>
  <c r="BN12" i="2" s="1"/>
  <c r="BH121" i="2"/>
  <c r="BN121" i="2" s="1"/>
  <c r="BH11" i="2"/>
  <c r="BN11" i="2" s="1"/>
  <c r="BH162" i="2"/>
  <c r="BL162" i="2" s="1"/>
  <c r="BH71" i="2"/>
  <c r="BN71" i="2" s="1"/>
  <c r="BH110" i="2"/>
  <c r="BN110" i="2" s="1"/>
  <c r="BQ110" i="2" s="1"/>
  <c r="BS110" i="2" s="1"/>
  <c r="BH66" i="2"/>
  <c r="BN66" i="2" s="1"/>
  <c r="BH150" i="2"/>
  <c r="BL150" i="2" s="1"/>
  <c r="BH51" i="2"/>
  <c r="BL51" i="2" s="1"/>
  <c r="BH132" i="2"/>
  <c r="BL132" i="2" s="1"/>
  <c r="BH133" i="2"/>
  <c r="BN133" i="2" s="1"/>
  <c r="BQ133" i="2" s="1"/>
  <c r="BS133" i="2" s="1"/>
  <c r="BH47" i="2"/>
  <c r="BN47" i="2" s="1"/>
  <c r="BH46" i="2"/>
  <c r="BL46" i="2" s="1"/>
  <c r="BH148" i="2"/>
  <c r="BL148" i="2" s="1"/>
  <c r="BH106" i="2"/>
  <c r="BN106" i="2" s="1"/>
  <c r="BK169" i="2"/>
  <c r="BJ169" i="2"/>
  <c r="BS7" i="2" l="1"/>
  <c r="BQ89" i="2"/>
  <c r="BS89" i="2" s="1"/>
  <c r="BQ115" i="2"/>
  <c r="BS115" i="2" s="1"/>
  <c r="BQ129" i="2"/>
  <c r="BS129" i="2" s="1"/>
  <c r="BQ10" i="2"/>
  <c r="BS10" i="2" s="1"/>
  <c r="BN141" i="2"/>
  <c r="BQ141" i="2" s="1"/>
  <c r="BS141" i="2" s="1"/>
  <c r="BL141" i="2"/>
  <c r="BL167" i="2"/>
  <c r="BN167" i="2"/>
  <c r="BQ167" i="2" s="1"/>
  <c r="BS167" i="2" s="1"/>
  <c r="BQ101" i="2"/>
  <c r="BS101" i="2" s="1"/>
  <c r="BQ75" i="2"/>
  <c r="BS75" i="2" s="1"/>
  <c r="BQ76" i="2"/>
  <c r="BS76" i="2" s="1"/>
  <c r="BQ71" i="2"/>
  <c r="BS71" i="2" s="1"/>
  <c r="BL77" i="2"/>
  <c r="BL50" i="2"/>
  <c r="BL91" i="2"/>
  <c r="BQ158" i="2"/>
  <c r="BS158" i="2" s="1"/>
  <c r="BQ160" i="2"/>
  <c r="BS160" i="2" s="1"/>
  <c r="BQ47" i="2"/>
  <c r="BS47" i="2" s="1"/>
  <c r="BQ128" i="2"/>
  <c r="BS128" i="2" s="1"/>
  <c r="BQ77" i="2"/>
  <c r="BS77" i="2" s="1"/>
  <c r="BQ114" i="2"/>
  <c r="BS114" i="2" s="1"/>
  <c r="BQ68" i="2"/>
  <c r="BS68" i="2" s="1"/>
  <c r="BQ28" i="2"/>
  <c r="BS28" i="2" s="1"/>
  <c r="BQ113" i="2"/>
  <c r="BS113" i="2" s="1"/>
  <c r="BQ19" i="2"/>
  <c r="BS19" i="2" s="1"/>
  <c r="BQ130" i="2"/>
  <c r="BS130" i="2" s="1"/>
  <c r="BQ50" i="2"/>
  <c r="BS50" i="2" s="1"/>
  <c r="BL30" i="2"/>
  <c r="BQ14" i="2"/>
  <c r="BS14" i="2" s="1"/>
  <c r="BQ78" i="2"/>
  <c r="BS78" i="2" s="1"/>
  <c r="BN40" i="2"/>
  <c r="BQ40" i="2" s="1"/>
  <c r="BS40" i="2" s="1"/>
  <c r="BL43" i="2"/>
  <c r="BP169" i="2"/>
  <c r="BQ106" i="2"/>
  <c r="BS106" i="2" s="1"/>
  <c r="BQ97" i="2"/>
  <c r="BS97" i="2" s="1"/>
  <c r="BQ157" i="2"/>
  <c r="BS157" i="2" s="1"/>
  <c r="BQ45" i="2"/>
  <c r="BS45" i="2" s="1"/>
  <c r="BQ99" i="2"/>
  <c r="BS99" i="2" s="1"/>
  <c r="BQ85" i="2"/>
  <c r="BS85" i="2" s="1"/>
  <c r="BN126" i="2"/>
  <c r="BQ126" i="2" s="1"/>
  <c r="BS126" i="2" s="1"/>
  <c r="BQ55" i="2"/>
  <c r="BS55" i="2" s="1"/>
  <c r="BQ41" i="2"/>
  <c r="BS41" i="2" s="1"/>
  <c r="BQ66" i="2"/>
  <c r="BS66" i="2" s="1"/>
  <c r="BQ98" i="2"/>
  <c r="BS98" i="2" s="1"/>
  <c r="BL115" i="2"/>
  <c r="BQ24" i="2"/>
  <c r="BS24" i="2" s="1"/>
  <c r="BQ33" i="2"/>
  <c r="BS33" i="2" s="1"/>
  <c r="BQ86" i="2"/>
  <c r="BS86" i="2" s="1"/>
  <c r="BQ29" i="2"/>
  <c r="BS29" i="2" s="1"/>
  <c r="BQ153" i="2"/>
  <c r="BS153" i="2" s="1"/>
  <c r="BQ118" i="2"/>
  <c r="BS118" i="2" s="1"/>
  <c r="BL138" i="2"/>
  <c r="BQ90" i="2"/>
  <c r="BS90" i="2" s="1"/>
  <c r="BQ65" i="2"/>
  <c r="BS65" i="2" s="1"/>
  <c r="BQ139" i="2"/>
  <c r="BS139" i="2" s="1"/>
  <c r="BQ145" i="2"/>
  <c r="BS145" i="2" s="1"/>
  <c r="BQ13" i="2"/>
  <c r="BS13" i="2" s="1"/>
  <c r="BQ156" i="2"/>
  <c r="BS156" i="2" s="1"/>
  <c r="BQ84" i="2"/>
  <c r="BS84" i="2" s="1"/>
  <c r="BQ91" i="2"/>
  <c r="BS91" i="2" s="1"/>
  <c r="BQ15" i="2"/>
  <c r="BS15" i="2" s="1"/>
  <c r="BQ54" i="2"/>
  <c r="BS54" i="2" s="1"/>
  <c r="BQ94" i="2"/>
  <c r="BS94" i="2" s="1"/>
  <c r="BQ144" i="2"/>
  <c r="BS144" i="2" s="1"/>
  <c r="BQ11" i="2"/>
  <c r="BS11" i="2" s="1"/>
  <c r="BL157" i="2"/>
  <c r="BQ103" i="2"/>
  <c r="BS103" i="2" s="1"/>
  <c r="BQ57" i="2"/>
  <c r="BS57" i="2" s="1"/>
  <c r="BQ121" i="2"/>
  <c r="BS121" i="2" s="1"/>
  <c r="BQ22" i="2"/>
  <c r="BS22" i="2" s="1"/>
  <c r="BQ151" i="2"/>
  <c r="BS151" i="2" s="1"/>
  <c r="BQ62" i="2"/>
  <c r="BS62" i="2" s="1"/>
  <c r="BQ104" i="2"/>
  <c r="BS104" i="2" s="1"/>
  <c r="BL89" i="2"/>
  <c r="BL114" i="2"/>
  <c r="BQ12" i="2"/>
  <c r="BS12" i="2" s="1"/>
  <c r="BQ107" i="2"/>
  <c r="BS107" i="2" s="1"/>
  <c r="BQ48" i="2"/>
  <c r="BS48" i="2" s="1"/>
  <c r="BQ131" i="2"/>
  <c r="BS131" i="2" s="1"/>
  <c r="BQ88" i="2"/>
  <c r="BS88" i="2" s="1"/>
  <c r="BQ111" i="2"/>
  <c r="BS111" i="2" s="1"/>
  <c r="BQ49" i="2"/>
  <c r="BS49" i="2" s="1"/>
  <c r="BQ37" i="2"/>
  <c r="BS37" i="2" s="1"/>
  <c r="BQ18" i="2"/>
  <c r="BS18" i="2" s="1"/>
  <c r="BQ87" i="2"/>
  <c r="BS87" i="2" s="1"/>
  <c r="BL13" i="2"/>
  <c r="BL95" i="2"/>
  <c r="BL19" i="2"/>
  <c r="BN58" i="2"/>
  <c r="BQ58" i="2" s="1"/>
  <c r="BS58" i="2" s="1"/>
  <c r="BL160" i="2"/>
  <c r="BL65" i="2"/>
  <c r="BN82" i="2"/>
  <c r="BQ82" i="2" s="1"/>
  <c r="BS82" i="2" s="1"/>
  <c r="BN27" i="2"/>
  <c r="BQ27" i="2" s="1"/>
  <c r="BS27" i="2" s="1"/>
  <c r="BN120" i="2"/>
  <c r="BQ120" i="2" s="1"/>
  <c r="BS120" i="2" s="1"/>
  <c r="BN79" i="2"/>
  <c r="BQ79" i="2" s="1"/>
  <c r="BS79" i="2" s="1"/>
  <c r="BL18" i="2"/>
  <c r="BN112" i="2"/>
  <c r="BQ112" i="2" s="1"/>
  <c r="BS112" i="2" s="1"/>
  <c r="BL29" i="2"/>
  <c r="BL88" i="2"/>
  <c r="BL124" i="2"/>
  <c r="BN21" i="2"/>
  <c r="BQ21" i="2" s="1"/>
  <c r="BS21" i="2" s="1"/>
  <c r="BL45" i="2"/>
  <c r="BL28" i="2"/>
  <c r="BN143" i="2"/>
  <c r="BQ143" i="2" s="1"/>
  <c r="BS143" i="2" s="1"/>
  <c r="BN81" i="2"/>
  <c r="BQ81" i="2" s="1"/>
  <c r="BS81" i="2" s="1"/>
  <c r="BN147" i="2"/>
  <c r="BQ147" i="2" s="1"/>
  <c r="BS147" i="2" s="1"/>
  <c r="BN164" i="2"/>
  <c r="BQ164" i="2" s="1"/>
  <c r="BS164" i="2" s="1"/>
  <c r="BL149" i="2"/>
  <c r="BL129" i="2"/>
  <c r="BL78" i="2"/>
  <c r="BL105" i="2"/>
  <c r="BN152" i="2"/>
  <c r="BQ152" i="2" s="1"/>
  <c r="BS152" i="2" s="1"/>
  <c r="BL67" i="2"/>
  <c r="BL31" i="2"/>
  <c r="BN117" i="2"/>
  <c r="BQ117" i="2" s="1"/>
  <c r="BS117" i="2" s="1"/>
  <c r="BL36" i="2"/>
  <c r="BL118" i="2"/>
  <c r="BN132" i="2"/>
  <c r="BQ132" i="2" s="1"/>
  <c r="BS132" i="2" s="1"/>
  <c r="BN165" i="2"/>
  <c r="BQ165" i="2" s="1"/>
  <c r="BS165" i="2" s="1"/>
  <c r="BL75" i="2"/>
  <c r="BL104" i="2"/>
  <c r="BL145" i="2"/>
  <c r="BN80" i="2"/>
  <c r="BQ80" i="2" s="1"/>
  <c r="BS80" i="2" s="1"/>
  <c r="BN155" i="2"/>
  <c r="BQ155" i="2" s="1"/>
  <c r="BS155" i="2" s="1"/>
  <c r="BL158" i="2"/>
  <c r="BN125" i="2"/>
  <c r="BQ125" i="2" s="1"/>
  <c r="BS125" i="2" s="1"/>
  <c r="BL24" i="2"/>
  <c r="BL87" i="2"/>
  <c r="BN127" i="2"/>
  <c r="BQ127" i="2" s="1"/>
  <c r="BS127" i="2" s="1"/>
  <c r="BL15" i="2"/>
  <c r="BL71" i="2"/>
  <c r="BN59" i="2"/>
  <c r="BQ59" i="2" s="1"/>
  <c r="BS59" i="2" s="1"/>
  <c r="BN122" i="2"/>
  <c r="BQ122" i="2" s="1"/>
  <c r="BS122" i="2" s="1"/>
  <c r="BL33" i="2"/>
  <c r="BN44" i="2"/>
  <c r="BQ44" i="2" s="1"/>
  <c r="BS44" i="2" s="1"/>
  <c r="BN5" i="2"/>
  <c r="BQ5" i="2" s="1"/>
  <c r="BS5" i="2" s="1"/>
  <c r="BN8" i="2"/>
  <c r="BQ8" i="2" s="1"/>
  <c r="BS8" i="2" s="1"/>
  <c r="BL35" i="2"/>
  <c r="BL84" i="2"/>
  <c r="BN72" i="2"/>
  <c r="BQ72" i="2" s="1"/>
  <c r="BS72" i="2" s="1"/>
  <c r="BL14" i="2"/>
  <c r="BL62" i="2"/>
  <c r="BL47" i="2"/>
  <c r="BL86" i="2"/>
  <c r="BL69" i="2"/>
  <c r="BL12" i="2"/>
  <c r="BL17" i="2"/>
  <c r="BN9" i="2"/>
  <c r="BQ9" i="2" s="1"/>
  <c r="BS9" i="2" s="1"/>
  <c r="BL113" i="2"/>
  <c r="BL63" i="2"/>
  <c r="BL96" i="2"/>
  <c r="BL68" i="2"/>
  <c r="BL156" i="2"/>
  <c r="BL99" i="2"/>
  <c r="BL60" i="2"/>
  <c r="BN38" i="2"/>
  <c r="BQ38" i="2" s="1"/>
  <c r="BS38" i="2" s="1"/>
  <c r="BN93" i="2"/>
  <c r="BQ93" i="2" s="1"/>
  <c r="BS93" i="2" s="1"/>
  <c r="BL85" i="2"/>
  <c r="BL57" i="2"/>
  <c r="BN116" i="2"/>
  <c r="BQ116" i="2" s="1"/>
  <c r="BS116" i="2" s="1"/>
  <c r="BL121" i="2"/>
  <c r="BL7" i="2"/>
  <c r="BL4" i="2"/>
  <c r="BL41" i="2"/>
  <c r="BN20" i="2"/>
  <c r="BQ20" i="2" s="1"/>
  <c r="BS20" i="2" s="1"/>
  <c r="BL54" i="2"/>
  <c r="BL130" i="2"/>
  <c r="BN150" i="2"/>
  <c r="BQ150" i="2" s="1"/>
  <c r="BS150" i="2" s="1"/>
  <c r="BL37" i="2"/>
  <c r="BL25" i="2"/>
  <c r="BN23" i="2"/>
  <c r="BQ23" i="2" s="1"/>
  <c r="BS23" i="2" s="1"/>
  <c r="BN32" i="2"/>
  <c r="BQ32" i="2" s="1"/>
  <c r="BS32" i="2" s="1"/>
  <c r="BN102" i="2"/>
  <c r="BQ102" i="2" s="1"/>
  <c r="BS102" i="2" s="1"/>
  <c r="BN136" i="2"/>
  <c r="BQ136" i="2" s="1"/>
  <c r="BS136" i="2" s="1"/>
  <c r="BL161" i="2"/>
  <c r="BN161" i="2"/>
  <c r="BQ161" i="2" s="1"/>
  <c r="BS161" i="2" s="1"/>
  <c r="BL10" i="2"/>
  <c r="BL42" i="2"/>
  <c r="BL101" i="2"/>
  <c r="BN108" i="2"/>
  <c r="BQ108" i="2" s="1"/>
  <c r="BS108" i="2" s="1"/>
  <c r="BL103" i="2"/>
  <c r="BN137" i="2"/>
  <c r="BQ137" i="2" s="1"/>
  <c r="BS137" i="2" s="1"/>
  <c r="BN6" i="2"/>
  <c r="BQ6" i="2" s="1"/>
  <c r="BS6" i="2" s="1"/>
  <c r="BN140" i="2"/>
  <c r="BQ140" i="2" s="1"/>
  <c r="BS140" i="2" s="1"/>
  <c r="BL128" i="2"/>
  <c r="BN64" i="2"/>
  <c r="BQ64" i="2" s="1"/>
  <c r="BS64" i="2" s="1"/>
  <c r="BN51" i="2"/>
  <c r="BQ51" i="2" s="1"/>
  <c r="BS51" i="2" s="1"/>
  <c r="BN52" i="2"/>
  <c r="BQ52" i="2" s="1"/>
  <c r="BS52" i="2" s="1"/>
  <c r="BL131" i="2"/>
  <c r="BL151" i="2"/>
  <c r="BN74" i="2"/>
  <c r="BQ74" i="2" s="1"/>
  <c r="BS74" i="2" s="1"/>
  <c r="BN39" i="2"/>
  <c r="BQ39" i="2" s="1"/>
  <c r="BS39" i="2" s="1"/>
  <c r="BN154" i="2"/>
  <c r="BQ154" i="2" s="1"/>
  <c r="BS154" i="2" s="1"/>
  <c r="BL106" i="2"/>
  <c r="BL48" i="2"/>
  <c r="BN61" i="2"/>
  <c r="BQ61" i="2" s="1"/>
  <c r="BS61" i="2" s="1"/>
  <c r="BL119" i="2"/>
  <c r="BL144" i="2"/>
  <c r="BL26" i="2"/>
  <c r="BL16" i="2"/>
  <c r="BN56" i="2"/>
  <c r="BQ56" i="2" s="1"/>
  <c r="BS56" i="2" s="1"/>
  <c r="BL94" i="2"/>
  <c r="BN70" i="2"/>
  <c r="BQ70" i="2" s="1"/>
  <c r="BS70" i="2" s="1"/>
  <c r="BN100" i="2"/>
  <c r="BQ100" i="2" s="1"/>
  <c r="BS100" i="2" s="1"/>
  <c r="BN92" i="2"/>
  <c r="BQ92" i="2" s="1"/>
  <c r="BS92" i="2" s="1"/>
  <c r="BN146" i="2"/>
  <c r="BQ146" i="2" s="1"/>
  <c r="BS146" i="2" s="1"/>
  <c r="BL146" i="2"/>
  <c r="BN166" i="2"/>
  <c r="BQ166" i="2" s="1"/>
  <c r="BS166" i="2" s="1"/>
  <c r="BN168" i="2"/>
  <c r="BQ168" i="2" s="1"/>
  <c r="BS168" i="2" s="1"/>
  <c r="BL163" i="2"/>
  <c r="BN109" i="2"/>
  <c r="BQ109" i="2" s="1"/>
  <c r="BS109" i="2" s="1"/>
  <c r="BL135" i="2"/>
  <c r="BL49" i="2"/>
  <c r="BL90" i="2"/>
  <c r="BL133" i="2"/>
  <c r="BL142" i="2"/>
  <c r="BN148" i="2"/>
  <c r="BQ148" i="2" s="1"/>
  <c r="BS148" i="2" s="1"/>
  <c r="BL110" i="2"/>
  <c r="BL22" i="2"/>
  <c r="BN159" i="2"/>
  <c r="BQ159" i="2" s="1"/>
  <c r="BS159" i="2" s="1"/>
  <c r="BL159" i="2"/>
  <c r="BN46" i="2"/>
  <c r="BQ46" i="2" s="1"/>
  <c r="BS46" i="2" s="1"/>
  <c r="BN73" i="2"/>
  <c r="BQ73" i="2" s="1"/>
  <c r="BS73" i="2" s="1"/>
  <c r="BL139" i="2"/>
  <c r="BL66" i="2"/>
  <c r="BN34" i="2"/>
  <c r="BQ34" i="2" s="1"/>
  <c r="BS34" i="2" s="1"/>
  <c r="BL55" i="2"/>
  <c r="BL111" i="2"/>
  <c r="BL98" i="2"/>
  <c r="BN134" i="2"/>
  <c r="BQ134" i="2" s="1"/>
  <c r="BS134" i="2" s="1"/>
  <c r="BL107" i="2"/>
  <c r="BN162" i="2"/>
  <c r="BQ162" i="2" s="1"/>
  <c r="BS162" i="2" s="1"/>
  <c r="BL76" i="2"/>
  <c r="BL153" i="2"/>
  <c r="BN53" i="2"/>
  <c r="BQ53" i="2" s="1"/>
  <c r="BS53" i="2" s="1"/>
  <c r="BN83" i="2"/>
  <c r="BQ83" i="2" s="1"/>
  <c r="BS83" i="2" s="1"/>
  <c r="BL97" i="2"/>
  <c r="BN123" i="2"/>
  <c r="BQ123" i="2" s="1"/>
  <c r="BS123" i="2" s="1"/>
  <c r="BL11" i="2"/>
  <c r="BH169" i="2"/>
  <c r="BS4" i="2"/>
  <c r="BL169" i="2" l="1"/>
  <c r="BQ169" i="2"/>
  <c r="BN169" i="2"/>
</calcChain>
</file>

<file path=xl/sharedStrings.xml><?xml version="1.0" encoding="utf-8"?>
<sst xmlns="http://schemas.openxmlformats.org/spreadsheetml/2006/main" count="1864" uniqueCount="692">
  <si>
    <t>Etiquetas de fila</t>
  </si>
  <si>
    <t>Cuenta de Customer Name</t>
  </si>
  <si>
    <t>4976 - Remofirst - Revby LLC -</t>
  </si>
  <si>
    <t>ok</t>
  </si>
  <si>
    <t>Heli</t>
  </si>
  <si>
    <t>Remofirst - 1OAK SARL/1Ofakind</t>
  </si>
  <si>
    <t>Remofirst - AG Law Firm LLC</t>
  </si>
  <si>
    <t>Remofirst - AMG Global Distribution Inc</t>
  </si>
  <si>
    <t>Remofirst - Asm Law Group</t>
  </si>
  <si>
    <t>Remofirst - Bayview Dental Inc</t>
  </si>
  <si>
    <t>Remofirst - Berkheimer Enterprises LLC</t>
  </si>
  <si>
    <t>Remofirst - BGB Group / BGB Communicati</t>
  </si>
  <si>
    <t>Remofirst - BRIT AI Web Solutions LLC</t>
  </si>
  <si>
    <t>Remofirst - BÜCHI Labortechnik AG</t>
  </si>
  <si>
    <t>Remofirst - Coop Edgar</t>
  </si>
  <si>
    <t>Remofirst - CarbonBetter, LLC</t>
  </si>
  <si>
    <t>Remofirst - Fabletics, LLC</t>
  </si>
  <si>
    <t>Remofirst - ClearFreight Inc</t>
  </si>
  <si>
    <t>Remofirst - Facade Studio, Llc</t>
  </si>
  <si>
    <t>Remofirst - Ferrous Systems GmbH</t>
  </si>
  <si>
    <t>Remofirst - COPADATA US CORP</t>
  </si>
  <si>
    <t>Remofirst - Harmonic Desing, INC</t>
  </si>
  <si>
    <t>No está en la plataforma</t>
  </si>
  <si>
    <t>Remofirst - International Concierge Inc</t>
  </si>
  <si>
    <t>Remofirst - Luzidos Inc.</t>
  </si>
  <si>
    <t>Remofirst - Magno Jet Indústria Ltda</t>
  </si>
  <si>
    <t>Remofirst - MicroDyn Medical SystemsLLC</t>
  </si>
  <si>
    <t>Remofirst - IGS Solutions</t>
  </si>
  <si>
    <t>Remofirst - ND Defense LLC</t>
  </si>
  <si>
    <t>Remofirst - Insightful.io Inc</t>
  </si>
  <si>
    <t>Remofirst - NORDITECH AB</t>
  </si>
  <si>
    <t>Remofirst - Quantic Vision, S.A.</t>
  </si>
  <si>
    <t>Remofirst - Islamic Relief - Ir Canada</t>
  </si>
  <si>
    <t>Remofirst - Remote Medicine, Inc.</t>
  </si>
  <si>
    <t>Remofirst - Salty Slopes LLC</t>
  </si>
  <si>
    <t>Remofirst - Spitfire Strategies LLC</t>
  </si>
  <si>
    <t>Remofirst - Metrickal</t>
  </si>
  <si>
    <t>Remofirst - Ultramain Systems, Inc.</t>
  </si>
  <si>
    <t>Remorfirst - Notable Growth, Inc</t>
  </si>
  <si>
    <t>Remofirst - Nomi Gmbh</t>
  </si>
  <si>
    <t>Remofirst - RADPAIR</t>
  </si>
  <si>
    <t>Remofirst - Pandesco Inc.</t>
  </si>
  <si>
    <t>Remofirst - Roger R. Foisy Professional</t>
  </si>
  <si>
    <t>Remofirst - Porch.com, Inc.</t>
  </si>
  <si>
    <t>Remofirst - Pratham International, Inc</t>
  </si>
  <si>
    <t>Remofirst - TC1 Corporation S.A.C</t>
  </si>
  <si>
    <t>Remofirst - Prometryx, Inc</t>
  </si>
  <si>
    <t>Remofirst - Sinergia Animal</t>
  </si>
  <si>
    <t>Lore</t>
  </si>
  <si>
    <t>Total general</t>
  </si>
  <si>
    <t>COST REPORT</t>
  </si>
  <si>
    <t>Cambios en la plataforma</t>
  </si>
  <si>
    <t>BERNAL PLATA JUAN DIEGO</t>
  </si>
  <si>
    <t>SOCIAL SECURITY EMPLOYER COSTS</t>
  </si>
  <si>
    <t>LEGAL BENEFITS</t>
  </si>
  <si>
    <t>OTHER EMPLOYER COST</t>
  </si>
  <si>
    <t>TOTALS</t>
  </si>
  <si>
    <t>EMPLOYEE CODE</t>
  </si>
  <si>
    <t>EE RF WID</t>
  </si>
  <si>
    <t>NAME</t>
  </si>
  <si>
    <t>Onboarding Date</t>
  </si>
  <si>
    <t>Offboarding Date</t>
  </si>
  <si>
    <t>EE Status (onboarding/active/offboarding)</t>
  </si>
  <si>
    <t>Country</t>
  </si>
  <si>
    <t>Customer Name</t>
  </si>
  <si>
    <t>Customer ID</t>
  </si>
  <si>
    <t>Payroll Month</t>
  </si>
  <si>
    <t>Service Type / Invoice Type</t>
  </si>
  <si>
    <t>ER SS rate %</t>
  </si>
  <si>
    <t>SALARY</t>
  </si>
  <si>
    <t>Rectroactive payment/Plus Compensation</t>
  </si>
  <si>
    <t>"Sick" Leave</t>
  </si>
  <si>
    <t>Alloawance 1 (Car Allowance)</t>
  </si>
  <si>
    <t>Unused Holidays</t>
  </si>
  <si>
    <t>Overtime</t>
  </si>
  <si>
    <t>Bonus/Commission</t>
  </si>
  <si>
    <t xml:space="preserve">Deduction or Gross Amount adjustments prevous month </t>
  </si>
  <si>
    <t>Alloawance 2 (Mobile &amp; Internet Allowance)</t>
  </si>
  <si>
    <t>Food allowance</t>
  </si>
  <si>
    <t>Alloawance 3 (Home/Remote work allowance)</t>
  </si>
  <si>
    <t>Alloawance 4 (Other allowances)</t>
  </si>
  <si>
    <t>Sign-on Bonus</t>
  </si>
  <si>
    <t>Transport allowance</t>
  </si>
  <si>
    <t>Wellness Allowance</t>
  </si>
  <si>
    <t>On Call/ Plus Disponibilidad</t>
  </si>
  <si>
    <t>Severance Pay (Taxable)</t>
  </si>
  <si>
    <t>Lieu of Notice</t>
  </si>
  <si>
    <t>Paternity/ Maternity leave</t>
  </si>
  <si>
    <t>PAYMENTS</t>
  </si>
  <si>
    <t>PENSION COST</t>
  </si>
  <si>
    <t>HEALTH COST</t>
  </si>
  <si>
    <t>LABOR RISK COST</t>
  </si>
  <si>
    <t>FAMILY FUND COST</t>
  </si>
  <si>
    <t>SENA COST</t>
  </si>
  <si>
    <t>ICBF COST</t>
  </si>
  <si>
    <t>TOTAL</t>
  </si>
  <si>
    <t>13TH SALARY</t>
  </si>
  <si>
    <t>14TH SALARY</t>
  </si>
  <si>
    <t>INTEREST ON 14TH SALARY</t>
  </si>
  <si>
    <t>TOTAL COST AND LEGAL BENEFITS</t>
  </si>
  <si>
    <t>EXPENSES</t>
  </si>
  <si>
    <t>HEALTH INSURANCE</t>
  </si>
  <si>
    <t>MEDICAL TEST</t>
  </si>
  <si>
    <t>REIMBUSMENT</t>
  </si>
  <si>
    <t>PARKING COST</t>
  </si>
  <si>
    <t>SENA QUOTE</t>
  </si>
  <si>
    <t>TOTAL EMPLOYEE COST</t>
  </si>
  <si>
    <t>FEE</t>
  </si>
  <si>
    <t>BANKING TAX</t>
  </si>
  <si>
    <t>IVA</t>
  </si>
  <si>
    <t>TOTAL COP</t>
  </si>
  <si>
    <t>EXCHANGE RATE</t>
  </si>
  <si>
    <t>TOTAL EMPLOYEE COST USD</t>
  </si>
  <si>
    <t>FEE USD</t>
  </si>
  <si>
    <t>VAT</t>
  </si>
  <si>
    <t>TOTAL USD</t>
  </si>
  <si>
    <t>PLATFORM</t>
  </si>
  <si>
    <t>DIFERENCE</t>
  </si>
  <si>
    <t>OBS</t>
  </si>
  <si>
    <t>1017225217</t>
  </si>
  <si>
    <t>3131</t>
  </si>
  <si>
    <t>AGUDELO DURANGO YESSELA</t>
  </si>
  <si>
    <t>active</t>
  </si>
  <si>
    <t>Colombia</t>
  </si>
  <si>
    <t>834</t>
  </si>
  <si>
    <t>September</t>
  </si>
  <si>
    <t>Monthly Payroll</t>
  </si>
  <si>
    <t>Se deja 4,556,37 valor de las comisiones</t>
  </si>
  <si>
    <t>1032387384</t>
  </si>
  <si>
    <t>12985</t>
  </si>
  <si>
    <t>AGUDELO MAGALHAES MONICA MARIA</t>
  </si>
  <si>
    <t>4616</t>
  </si>
  <si>
    <t>1020741198</t>
  </si>
  <si>
    <t>15068</t>
  </si>
  <si>
    <t>AGUDELO NAVARRO DANIEL</t>
  </si>
  <si>
    <t>5207</t>
  </si>
  <si>
    <t>Dif- Uniandinos Membership</t>
  </si>
  <si>
    <t>1006096522</t>
  </si>
  <si>
    <t>26776</t>
  </si>
  <si>
    <t>AGUILAR ZAMORA JUAN ESTEBAN</t>
  </si>
  <si>
    <t>6386</t>
  </si>
  <si>
    <t>1152453999</t>
  </si>
  <si>
    <t>9546</t>
  </si>
  <si>
    <t>ALARCON VASQUEZ JOHAN MAURICIO</t>
  </si>
  <si>
    <t>2974</t>
  </si>
  <si>
    <t>1007722318</t>
  </si>
  <si>
    <t>9097</t>
  </si>
  <si>
    <t>ALEMAN ROJAS LAURA ALEJANDRA</t>
  </si>
  <si>
    <t>1302</t>
  </si>
  <si>
    <t>1122653818</t>
  </si>
  <si>
    <t>24472</t>
  </si>
  <si>
    <t>ALVAREZ BEDOYA JULIETH NATALIA</t>
  </si>
  <si>
    <t>5889</t>
  </si>
  <si>
    <t>1089096102</t>
  </si>
  <si>
    <t>17217</t>
  </si>
  <si>
    <t>ALVAREZ CORRALES SOFIA</t>
  </si>
  <si>
    <t>1567</t>
  </si>
  <si>
    <t>1006877595</t>
  </si>
  <si>
    <t>11869</t>
  </si>
  <si>
    <t>ALVAREZ LOPEZ JUAN ESTEBAN</t>
  </si>
  <si>
    <t>2670</t>
  </si>
  <si>
    <t>1003230462</t>
  </si>
  <si>
    <t>24586</t>
  </si>
  <si>
    <t>AMAYA PEREZ ANDRES CAMILO</t>
  </si>
  <si>
    <t>Aparece en la plataforma un bono de 339,500</t>
  </si>
  <si>
    <t>1097782066</t>
  </si>
  <si>
    <t>17797</t>
  </si>
  <si>
    <t>ANAYA GOMEZ NEIDY LEE</t>
  </si>
  <si>
    <t>1000894430</t>
  </si>
  <si>
    <t>16990</t>
  </si>
  <si>
    <t>ARENAS BARRERA ALEJANDRO</t>
  </si>
  <si>
    <t>3276</t>
  </si>
  <si>
    <t>1127350796</t>
  </si>
  <si>
    <t>11330</t>
  </si>
  <si>
    <t>ARIAS CHACON MILEINER GABRIELA</t>
  </si>
  <si>
    <t>3436</t>
  </si>
  <si>
    <t>1092851592</t>
  </si>
  <si>
    <t>26834</t>
  </si>
  <si>
    <t>ARRUBLA VELEZ SARA LUCIA</t>
  </si>
  <si>
    <t>1043640437</t>
  </si>
  <si>
    <t>15940</t>
  </si>
  <si>
    <t>ASHOOK CASTRO LUZ ANGELA</t>
  </si>
  <si>
    <t>4031</t>
  </si>
  <si>
    <t>Se agregan los 90,000 en el excel y en la plataforma.</t>
  </si>
  <si>
    <t>1006052223</t>
  </si>
  <si>
    <t>13907</t>
  </si>
  <si>
    <t>BACCA MONSALVE MARÍA CAMILA</t>
  </si>
  <si>
    <t>80925964</t>
  </si>
  <si>
    <t>26822</t>
  </si>
  <si>
    <t>BAENA VIDES JOSE DOMINGO</t>
  </si>
  <si>
    <t>7319</t>
  </si>
  <si>
    <t>1063304248</t>
  </si>
  <si>
    <t>24404</t>
  </si>
  <si>
    <t>BALLESTEROS ZAPATA CARLOS MARIO</t>
  </si>
  <si>
    <t>1024527496</t>
  </si>
  <si>
    <t>28164</t>
  </si>
  <si>
    <t>BARRERO GUERRERO SANTIAGO ANDRES</t>
  </si>
  <si>
    <t>1014207714</t>
  </si>
  <si>
    <t>13528</t>
  </si>
  <si>
    <t>BARRETO RUIZ JONATHAN JAVIER</t>
  </si>
  <si>
    <t>1047484779</t>
  </si>
  <si>
    <t>9182</t>
  </si>
  <si>
    <t>BARRIOS ANGULO SANDRA LUCIA</t>
  </si>
  <si>
    <t>2741</t>
  </si>
  <si>
    <t>1032385115</t>
  </si>
  <si>
    <t>23832</t>
  </si>
  <si>
    <t>BARRIOS AVILA ALEXANDRA CATHERINE</t>
  </si>
  <si>
    <t>6558680</t>
  </si>
  <si>
    <t>938</t>
  </si>
  <si>
    <t>BEAUVERD  FLORENT GUY</t>
  </si>
  <si>
    <t>225</t>
  </si>
  <si>
    <t>1016075729</t>
  </si>
  <si>
    <t>15861</t>
  </si>
  <si>
    <t>BERNAL OSUNA ASTRID NATHALIA</t>
  </si>
  <si>
    <t>5888</t>
  </si>
  <si>
    <t>1020786773</t>
  </si>
  <si>
    <t>32341</t>
  </si>
  <si>
    <t>onboarding</t>
  </si>
  <si>
    <t>4976</t>
  </si>
  <si>
    <t>Dif- en la plataforma el partner fee es 80,00</t>
  </si>
  <si>
    <t>80715428</t>
  </si>
  <si>
    <t>24410</t>
  </si>
  <si>
    <t>BETANCOURT LOAIZA MAURICIO</t>
  </si>
  <si>
    <t>Aparece en la plataforma un bono de 553,554</t>
  </si>
  <si>
    <t>1000533489</t>
  </si>
  <si>
    <t>12343</t>
  </si>
  <si>
    <t>BETANCUR GIRALDO SUSANA</t>
  </si>
  <si>
    <t>1098816827</t>
  </si>
  <si>
    <t>24408</t>
  </si>
  <si>
    <t>BISCARDI ESPINOSA CAMILO ALBERTO</t>
  </si>
  <si>
    <t>1026298001</t>
  </si>
  <si>
    <t>5660</t>
  </si>
  <si>
    <t>BONIL ROMERO SARA</t>
  </si>
  <si>
    <t>1098813778</t>
  </si>
  <si>
    <t>24471</t>
  </si>
  <si>
    <t>BOTELLO CERMEÑO HAZLY XILENA</t>
  </si>
  <si>
    <t>1006428135</t>
  </si>
  <si>
    <t>24542</t>
  </si>
  <si>
    <t>BURITICA CASTAÑEDA MARIA JOSE</t>
  </si>
  <si>
    <t>1516</t>
  </si>
  <si>
    <t>Dif- Auxilio que se reemplazo</t>
  </si>
  <si>
    <t>19248782</t>
  </si>
  <si>
    <t>10134</t>
  </si>
  <si>
    <t>BUSTAMANTE GOEZ VICTOR ALONSO</t>
  </si>
  <si>
    <t>16074277</t>
  </si>
  <si>
    <t>22892</t>
  </si>
  <si>
    <t>CALLE SUAREZ JUAN CAMILO</t>
  </si>
  <si>
    <t>6719</t>
  </si>
  <si>
    <t>1037629308</t>
  </si>
  <si>
    <t>10069</t>
  </si>
  <si>
    <t>CANO ALVAREZ SUSANA</t>
  </si>
  <si>
    <t>1234097381</t>
  </si>
  <si>
    <t>22015</t>
  </si>
  <si>
    <t>CANTILLO CARDENAS ISABELLA</t>
  </si>
  <si>
    <t>629</t>
  </si>
  <si>
    <t>1035227557</t>
  </si>
  <si>
    <t>24072</t>
  </si>
  <si>
    <t>CARDONA BETANCUR ANA MARIA</t>
  </si>
  <si>
    <t>1037637234</t>
  </si>
  <si>
    <t>25017</t>
  </si>
  <si>
    <t>CARDONA CADAVID YEFERSON</t>
  </si>
  <si>
    <t>1017272020</t>
  </si>
  <si>
    <t>15344</t>
  </si>
  <si>
    <t>CARDONA RIOS SARA</t>
  </si>
  <si>
    <t>5636</t>
  </si>
  <si>
    <t>1019148396</t>
  </si>
  <si>
    <t>10650</t>
  </si>
  <si>
    <t>CASAS GOMEZ GABRIELLA</t>
  </si>
  <si>
    <t>2851</t>
  </si>
  <si>
    <t>1136887342</t>
  </si>
  <si>
    <t>9127</t>
  </si>
  <si>
    <t>CASTAÑO ALVAREZ PAULA ESTEFANIA</t>
  </si>
  <si>
    <t>1018482773</t>
  </si>
  <si>
    <t>9126</t>
  </si>
  <si>
    <t>CASTAÑO CORREA PAOLA CATALINA</t>
  </si>
  <si>
    <t>1144056834</t>
  </si>
  <si>
    <t>24701</t>
  </si>
  <si>
    <t>CHAVES LOPEZ JESSICA VIVIANA</t>
  </si>
  <si>
    <t>1016943239</t>
  </si>
  <si>
    <t>17466</t>
  </si>
  <si>
    <t>CHINGATE SABOGAL JOSUE</t>
  </si>
  <si>
    <t>1192759119</t>
  </si>
  <si>
    <t>31403</t>
  </si>
  <si>
    <t>CORREA URQUIJO BRAYAN ESTIVEN</t>
  </si>
  <si>
    <t>52896186</t>
  </si>
  <si>
    <t>9014</t>
  </si>
  <si>
    <t>CORREDOR CIFUENTES GLORIA PAULINA</t>
  </si>
  <si>
    <t>340881</t>
  </si>
  <si>
    <t>3983</t>
  </si>
  <si>
    <t>COYER  NICOLAS HUGUES</t>
  </si>
  <si>
    <t>910</t>
  </si>
  <si>
    <t>1024505973</t>
  </si>
  <si>
    <t>7197</t>
  </si>
  <si>
    <t>CRUZ RAYO SEHNNEYDERMAN</t>
  </si>
  <si>
    <t>1418</t>
  </si>
  <si>
    <t>1032378030</t>
  </si>
  <si>
    <t>7265</t>
  </si>
  <si>
    <t>DAZA BEJARANO HANSEL</t>
  </si>
  <si>
    <t>1487</t>
  </si>
  <si>
    <t>1096249977</t>
  </si>
  <si>
    <t>31395</t>
  </si>
  <si>
    <t>DELGADO LOBO NICOLAS FERNANDO</t>
  </si>
  <si>
    <t>1095792024</t>
  </si>
  <si>
    <t>10129</t>
  </si>
  <si>
    <t>DIAZ RANGEL CESAR AUGUSTO</t>
  </si>
  <si>
    <t>3200</t>
  </si>
  <si>
    <t>1037649185</t>
  </si>
  <si>
    <t>25109</t>
  </si>
  <si>
    <t>DIAZ VELEZ GREGORIO</t>
  </si>
  <si>
    <t>1688</t>
  </si>
  <si>
    <t>1127227157</t>
  </si>
  <si>
    <t>24861</t>
  </si>
  <si>
    <t>DURAN SAMBONY YURY IVONNE</t>
  </si>
  <si>
    <t>43612463</t>
  </si>
  <si>
    <t>14290</t>
  </si>
  <si>
    <t>DURANGO MEJIA LYDA MARIA</t>
  </si>
  <si>
    <t>1037642445</t>
  </si>
  <si>
    <t>16027</t>
  </si>
  <si>
    <t>ECHAVARRÍA ORTIZ MARIAN</t>
  </si>
  <si>
    <t>1036657807</t>
  </si>
  <si>
    <t>10163</t>
  </si>
  <si>
    <t>ESCOBAR CARDONA CAROLINA</t>
  </si>
  <si>
    <t>1020493231</t>
  </si>
  <si>
    <t>17799</t>
  </si>
  <si>
    <t>ESTRADA BRAN LUIS ALEJANDRO</t>
  </si>
  <si>
    <t>73232088</t>
  </si>
  <si>
    <t>24960</t>
  </si>
  <si>
    <t>FERIA BRAVO JOSIAS DAVID</t>
  </si>
  <si>
    <t>1011322309</t>
  </si>
  <si>
    <t>14742</t>
  </si>
  <si>
    <t>FERNANDEZ ACOSTA JUANITA</t>
  </si>
  <si>
    <t>4609</t>
  </si>
  <si>
    <t>1128394920</t>
  </si>
  <si>
    <t>5425</t>
  </si>
  <si>
    <t>FRANCO MEJÍA LISSET CRISTINA</t>
  </si>
  <si>
    <t>1152185075</t>
  </si>
  <si>
    <t>13681</t>
  </si>
  <si>
    <t>GALEANO VASQUEZ DANIEL ALBERTO</t>
  </si>
  <si>
    <t>4933</t>
  </si>
  <si>
    <t>Dif- Internet Allowance</t>
  </si>
  <si>
    <t>29117374</t>
  </si>
  <si>
    <t>4598</t>
  </si>
  <si>
    <t>GARCIA ARRIOLA MARIA CAROLINA</t>
  </si>
  <si>
    <t>995</t>
  </si>
  <si>
    <t>1000556832</t>
  </si>
  <si>
    <t>15827</t>
  </si>
  <si>
    <t>GIRALDO ÁLVAREZ DAVID</t>
  </si>
  <si>
    <t>1037658525</t>
  </si>
  <si>
    <t>16025</t>
  </si>
  <si>
    <t>GIRALDO MONTOYA VERÓNICA</t>
  </si>
  <si>
    <t>1000440251</t>
  </si>
  <si>
    <t>6970</t>
  </si>
  <si>
    <t>GIRALDO ZAPATA MARIA ANTONIA</t>
  </si>
  <si>
    <t>1019110289</t>
  </si>
  <si>
    <t>5959</t>
  </si>
  <si>
    <t>GOMEZ MEDINA MATEO</t>
  </si>
  <si>
    <t>1020103230</t>
  </si>
  <si>
    <t>9549</t>
  </si>
  <si>
    <t>GOMEZ OQUENDO ISABELLA</t>
  </si>
  <si>
    <t>1152715167</t>
  </si>
  <si>
    <t>16023</t>
  </si>
  <si>
    <t>GÓMEZ VÉLEZ VANESSA</t>
  </si>
  <si>
    <t>1192764074</t>
  </si>
  <si>
    <t>25113</t>
  </si>
  <si>
    <t>GONZALEZ CLAVIJO BRYAM ANDRES</t>
  </si>
  <si>
    <t>1006109101</t>
  </si>
  <si>
    <t>24858</t>
  </si>
  <si>
    <t>GONZALEZ DURAN SOFIA</t>
  </si>
  <si>
    <t>1010124791</t>
  </si>
  <si>
    <t>17999</t>
  </si>
  <si>
    <t>GONZALEZ FRASSER CARLOS FELIPE</t>
  </si>
  <si>
    <t>2459</t>
  </si>
  <si>
    <t>1126984056</t>
  </si>
  <si>
    <t>24409</t>
  </si>
  <si>
    <t>GONZALEZ MORENO MAURICIO</t>
  </si>
  <si>
    <t>1037641662</t>
  </si>
  <si>
    <t>10133</t>
  </si>
  <si>
    <t>GONZALEZ RESTREPO EDUARDO</t>
  </si>
  <si>
    <t>1152699239</t>
  </si>
  <si>
    <t>16021</t>
  </si>
  <si>
    <t>GONZÁLEZ VARGAS ERIKA</t>
  </si>
  <si>
    <t>1017253667</t>
  </si>
  <si>
    <t>24798</t>
  </si>
  <si>
    <t>GRISALES POSADA MATEO</t>
  </si>
  <si>
    <t>2485624</t>
  </si>
  <si>
    <t>26833</t>
  </si>
  <si>
    <t>GUILLEN GUITIERREZ NELSON RODOLFO</t>
  </si>
  <si>
    <t>1006972067</t>
  </si>
  <si>
    <t>23835</t>
  </si>
  <si>
    <t>GUTIERREZ FRANCO STEVEN</t>
  </si>
  <si>
    <t>5867898</t>
  </si>
  <si>
    <t>24704</t>
  </si>
  <si>
    <t>HERNANDEZ CONTRERAS LUIS DANIEL</t>
  </si>
  <si>
    <t>1000796528</t>
  </si>
  <si>
    <t>22039</t>
  </si>
  <si>
    <t>HERRERA AKERS SANTIAGO</t>
  </si>
  <si>
    <t>1035235876</t>
  </si>
  <si>
    <t>8529</t>
  </si>
  <si>
    <t>HERRERA BOTERO CRISTIAN ANDRES</t>
  </si>
  <si>
    <t>1019140661</t>
  </si>
  <si>
    <t>13895</t>
  </si>
  <si>
    <t>HERRERA LOPEZ MARIANA</t>
  </si>
  <si>
    <t>1037612252</t>
  </si>
  <si>
    <t>5699</t>
  </si>
  <si>
    <t>HINCAPIE MONTOYA JUAN CAMILO</t>
  </si>
  <si>
    <t>94327912</t>
  </si>
  <si>
    <t>6662</t>
  </si>
  <si>
    <t>HURTADO DURAN ANDRES EDUARDO</t>
  </si>
  <si>
    <t>1753</t>
  </si>
  <si>
    <t>1152445542</t>
  </si>
  <si>
    <t>24524</t>
  </si>
  <si>
    <t>HURTADO JARAMILLO ANDREA</t>
  </si>
  <si>
    <t>Dif- expenses- Electronics en la plataforma sale 102,97 y en el archivo descargado 99,32</t>
  </si>
  <si>
    <t>1036638214</t>
  </si>
  <si>
    <t>11586</t>
  </si>
  <si>
    <t>JIMENEZ RUA FELIPE</t>
  </si>
  <si>
    <t>1017258148</t>
  </si>
  <si>
    <t>31394</t>
  </si>
  <si>
    <t>JURADO RIVERA MARIA CAMILA</t>
  </si>
  <si>
    <t>8207192</t>
  </si>
  <si>
    <t>14632</t>
  </si>
  <si>
    <t>KLERLEIN  MARY ELEANOR</t>
  </si>
  <si>
    <t>5373</t>
  </si>
  <si>
    <t>Dif- expenses</t>
  </si>
  <si>
    <t>1078370550</t>
  </si>
  <si>
    <t>5658</t>
  </si>
  <si>
    <t>LEGUIZAMON CLAVIJO CINDY CAROLINA</t>
  </si>
  <si>
    <t>1082990030</t>
  </si>
  <si>
    <t>10755</t>
  </si>
  <si>
    <t>LINARES SANTOS LAURA MARCELA</t>
  </si>
  <si>
    <t>1042090066</t>
  </si>
  <si>
    <t>31396</t>
  </si>
  <si>
    <t>LONDOÑO AGUDELO FLOR XIMENA</t>
  </si>
  <si>
    <t>1036687254</t>
  </si>
  <si>
    <t>16020</t>
  </si>
  <si>
    <t>LONDOÑO TRUJILLO JAQUELINE</t>
  </si>
  <si>
    <t>1214731635</t>
  </si>
  <si>
    <t>16056</t>
  </si>
  <si>
    <t>LOZANO MOSQUERA STEFANY</t>
  </si>
  <si>
    <t>1143876112</t>
  </si>
  <si>
    <t>25058</t>
  </si>
  <si>
    <t>LOZANO RIVERA JUAN DAVID</t>
  </si>
  <si>
    <t>Aparece en la plataforma un bono de 150,000</t>
  </si>
  <si>
    <t>1002129678</t>
  </si>
  <si>
    <t>14797</t>
  </si>
  <si>
    <t>LUNA MACÍAS MARCELA DAYANNA</t>
  </si>
  <si>
    <t>1018479582</t>
  </si>
  <si>
    <t>25046</t>
  </si>
  <si>
    <t>MANCIPE CASTRO LAURA DANIELA</t>
  </si>
  <si>
    <t>905</t>
  </si>
  <si>
    <t>1042460319</t>
  </si>
  <si>
    <t>12375</t>
  </si>
  <si>
    <t>MANRIQUE OLIVERA EDUARDO ELIAS</t>
  </si>
  <si>
    <t>4283</t>
  </si>
  <si>
    <t>1214715152</t>
  </si>
  <si>
    <t>31194</t>
  </si>
  <si>
    <t>MARIN MIRA YESSICA TATIANA</t>
  </si>
  <si>
    <t>1037325581</t>
  </si>
  <si>
    <t>12399</t>
  </si>
  <si>
    <t>MARULANDA HENAO MARIA CLARA</t>
  </si>
  <si>
    <t>1144044650</t>
  </si>
  <si>
    <t>4060</t>
  </si>
  <si>
    <t>MENDEZ DAVILA ORLANDO</t>
  </si>
  <si>
    <t>1019047962</t>
  </si>
  <si>
    <t>9128</t>
  </si>
  <si>
    <t>MÉNDEZ PERICO STEPHANY</t>
  </si>
  <si>
    <t>1047235474</t>
  </si>
  <si>
    <t>16245</t>
  </si>
  <si>
    <t>MENDOZA TORRES DUVAN ANDRES</t>
  </si>
  <si>
    <t>1010028032</t>
  </si>
  <si>
    <t>9874</t>
  </si>
  <si>
    <t>MIRANDA VERGARA HUYNA</t>
  </si>
  <si>
    <t>Dif- Adj Inv121322 grossed up allowance of August bonus</t>
  </si>
  <si>
    <t>1152206606</t>
  </si>
  <si>
    <t>25075</t>
  </si>
  <si>
    <t>MONSALVE RUIZ MARIA ALEJANDRA</t>
  </si>
  <si>
    <t>1019149714</t>
  </si>
  <si>
    <t>24144</t>
  </si>
  <si>
    <t>MONTAÑA PINZON PAULA CATALINA</t>
  </si>
  <si>
    <t>1032480835</t>
  </si>
  <si>
    <t>9083</t>
  </si>
  <si>
    <t>MUÑOZ ÁLVAREZ ANDREA</t>
  </si>
  <si>
    <t>44003699</t>
  </si>
  <si>
    <t>10131</t>
  </si>
  <si>
    <t>MURILLO ALZATE DIANA CRISTIAN</t>
  </si>
  <si>
    <t>1063305387</t>
  </si>
  <si>
    <t>13873</t>
  </si>
  <si>
    <t>MURILLO PAREJA ANDRES DAVID</t>
  </si>
  <si>
    <t>1193441943</t>
  </si>
  <si>
    <t>5675</t>
  </si>
  <si>
    <t>NAME PARADA SOFIA</t>
  </si>
  <si>
    <t>1125349017</t>
  </si>
  <si>
    <t>12189</t>
  </si>
  <si>
    <t>NEIRA GOMEZ JUAN DAVID</t>
  </si>
  <si>
    <t>1147687929</t>
  </si>
  <si>
    <t>10187</t>
  </si>
  <si>
    <t>NOMESQUE MEDINA CINDY LORENA</t>
  </si>
  <si>
    <t>1010233206</t>
  </si>
  <si>
    <t>17472</t>
  </si>
  <si>
    <t>ORJUELA DELGADO DANIEL MAURICIO</t>
  </si>
  <si>
    <t>Aparece en la plataforma un bono de 348,456</t>
  </si>
  <si>
    <t>1020802151</t>
  </si>
  <si>
    <t>24357</t>
  </si>
  <si>
    <t>ORTEGA ZULUAGA ALBERTO</t>
  </si>
  <si>
    <t>1020777537</t>
  </si>
  <si>
    <t>27499</t>
  </si>
  <si>
    <t>ORTIZ CALVO JUAN FELIPE</t>
  </si>
  <si>
    <t>1144048363</t>
  </si>
  <si>
    <t>26819</t>
  </si>
  <si>
    <t>ORTIZ CORTES MARIA CLARA</t>
  </si>
  <si>
    <t>1107091651</t>
  </si>
  <si>
    <t>25077</t>
  </si>
  <si>
    <t>OSORIO AGREDO JUAN FERNANDO</t>
  </si>
  <si>
    <t>1026291501</t>
  </si>
  <si>
    <t>5590</t>
  </si>
  <si>
    <t>PABON ARANGUREN MARIA ALEJANDRA</t>
  </si>
  <si>
    <t>1000546778</t>
  </si>
  <si>
    <t>14798</t>
  </si>
  <si>
    <t>PALACIO VELÁSQUEZ MARÍA ANTONIA</t>
  </si>
  <si>
    <t>1000883660</t>
  </si>
  <si>
    <t>24769</t>
  </si>
  <si>
    <t>PARRA NARANJO ANDRES FELIPE</t>
  </si>
  <si>
    <t>1098802067</t>
  </si>
  <si>
    <t>31195</t>
  </si>
  <si>
    <t>PEDRAZA BAUTISTA FABIOLA</t>
  </si>
  <si>
    <t>1110592831</t>
  </si>
  <si>
    <t>24959</t>
  </si>
  <si>
    <t>PERALTA SIERRA FABIAN CAMILO</t>
  </si>
  <si>
    <t>1003711622</t>
  </si>
  <si>
    <t>17203</t>
  </si>
  <si>
    <t>PERDIGON CAMARGO PAULA DEL PILAR</t>
  </si>
  <si>
    <t>1003716784</t>
  </si>
  <si>
    <t>24407</t>
  </si>
  <si>
    <t>PEREZ DEMOYA YANI VALENTINA</t>
  </si>
  <si>
    <t>1017216130</t>
  </si>
  <si>
    <t>13825</t>
  </si>
  <si>
    <t>PORRAS LARREA JOHN EDWIN</t>
  </si>
  <si>
    <t>1010211641</t>
  </si>
  <si>
    <t>768</t>
  </si>
  <si>
    <t>POVEDA RUIZ CHRISTIAN NICANOR</t>
  </si>
  <si>
    <t>77</t>
  </si>
  <si>
    <t>1022394727</t>
  </si>
  <si>
    <t>11240</t>
  </si>
  <si>
    <t>QUIÑONES GONZALEZ ANDRES FELIPE</t>
  </si>
  <si>
    <t>3787</t>
  </si>
  <si>
    <t>1002210564</t>
  </si>
  <si>
    <t>16991</t>
  </si>
  <si>
    <t>QUIÑONES PARDO JUAN SEBASTIÁN</t>
  </si>
  <si>
    <t>51916868</t>
  </si>
  <si>
    <t>14295</t>
  </si>
  <si>
    <t>QUINTERO ALVAREZ JENNYFER BERNARDA</t>
  </si>
  <si>
    <t>1093292272</t>
  </si>
  <si>
    <t>30547</t>
  </si>
  <si>
    <t>QUINTERO MOGOLLON DIEGO ALEJANDRO</t>
  </si>
  <si>
    <t>sal</t>
  </si>
  <si>
    <t>9223</t>
  </si>
  <si>
    <t>RAMIREZ ARANDA JUAN SEBASTIAN</t>
  </si>
  <si>
    <t>2647</t>
  </si>
  <si>
    <t>1152454797</t>
  </si>
  <si>
    <t>24411</t>
  </si>
  <si>
    <t>RESTREPO EUSSE DAVIDSON</t>
  </si>
  <si>
    <t>1006011135</t>
  </si>
  <si>
    <t>14296</t>
  </si>
  <si>
    <t>REYES BEDOYA JUAN DAVID</t>
  </si>
  <si>
    <t>1063305755</t>
  </si>
  <si>
    <t>14487</t>
  </si>
  <si>
    <t>RICARDO MADRID JOSE DAVID</t>
  </si>
  <si>
    <t>1006774330</t>
  </si>
  <si>
    <t>13680</t>
  </si>
  <si>
    <t>RINCON DIAZ MARIA FERNANDA</t>
  </si>
  <si>
    <t>Dif-Internet Allowance</t>
  </si>
  <si>
    <t>1020491613</t>
  </si>
  <si>
    <t>15519</t>
  </si>
  <si>
    <t>RIVERA VÁSQUEZ ORIÓN ZAFIRO</t>
  </si>
  <si>
    <t>1002580360</t>
  </si>
  <si>
    <t>16529</t>
  </si>
  <si>
    <t>RODRIGUEZ GALLEGO SANTIAGO</t>
  </si>
  <si>
    <t>1095914846</t>
  </si>
  <si>
    <t>24742</t>
  </si>
  <si>
    <t>RODRIGUEZ JAIMES LEIDY TATIANA</t>
  </si>
  <si>
    <t>72300476</t>
  </si>
  <si>
    <t>16161</t>
  </si>
  <si>
    <t>RODRIGUEZ TORRENEGRA AGUSTIN ALFONSO</t>
  </si>
  <si>
    <t>4983</t>
  </si>
  <si>
    <t>1022399583</t>
  </si>
  <si>
    <t>24528</t>
  </si>
  <si>
    <t>ROJAS ACEVEDO JORDAN ALEXANDER</t>
  </si>
  <si>
    <t>Aparece en la plataforma un bono de 245,185</t>
  </si>
  <si>
    <t>1146443670</t>
  </si>
  <si>
    <t>11332</t>
  </si>
  <si>
    <t>ROJAS CARDONA VALHERIA</t>
  </si>
  <si>
    <t>1020826293</t>
  </si>
  <si>
    <t>24143</t>
  </si>
  <si>
    <t>ROJAS MEDINA ISABELLA</t>
  </si>
  <si>
    <t>1018493348</t>
  </si>
  <si>
    <t>5657</t>
  </si>
  <si>
    <t>ROJAS NAVARRETE EMMA SORAYA</t>
  </si>
  <si>
    <t>1125800901</t>
  </si>
  <si>
    <t>25076</t>
  </si>
  <si>
    <t>ROJO FRANCO DAVID ALEXANDER</t>
  </si>
  <si>
    <t>1035435851</t>
  </si>
  <si>
    <t>10867</t>
  </si>
  <si>
    <t>RUIZ SIERRA LEYDI VANNESA</t>
  </si>
  <si>
    <t>1617</t>
  </si>
  <si>
    <t>1093318370</t>
  </si>
  <si>
    <t>24743</t>
  </si>
  <si>
    <t>SALAS PERNIA NELSON ANDREY</t>
  </si>
  <si>
    <t>1000192235</t>
  </si>
  <si>
    <t>17469</t>
  </si>
  <si>
    <t>SALAZAR RAMIREZ SANTIAGO</t>
  </si>
  <si>
    <t>offboarding</t>
  </si>
  <si>
    <t>1000046368</t>
  </si>
  <si>
    <t>8643</t>
  </si>
  <si>
    <t>SALDAÑA MARTINEZ LILIANA MARIA</t>
  </si>
  <si>
    <t>1118312097</t>
  </si>
  <si>
    <t>17811</t>
  </si>
  <si>
    <t>SANCHEZ CORTES OMAR ALEXIS</t>
  </si>
  <si>
    <t>94507549</t>
  </si>
  <si>
    <t>26775</t>
  </si>
  <si>
    <t>SANTOS YANTEN CARLOS ANDRES</t>
  </si>
  <si>
    <t>1003801738</t>
  </si>
  <si>
    <t>8270</t>
  </si>
  <si>
    <t>SILVA GARCIA NICOLAS</t>
  </si>
  <si>
    <t>1220474416</t>
  </si>
  <si>
    <t>2361</t>
  </si>
  <si>
    <t>SILVA MACAREÑO CESAR ENRIQUE</t>
  </si>
  <si>
    <t>606</t>
  </si>
  <si>
    <t>43877526</t>
  </si>
  <si>
    <t>9933</t>
  </si>
  <si>
    <t>TELLEZ DIEZ CAROLINA</t>
  </si>
  <si>
    <t>2945</t>
  </si>
  <si>
    <t>1085940293</t>
  </si>
  <si>
    <t>23908</t>
  </si>
  <si>
    <t>TERAN BENAVIDES MARIO ESTEBAN</t>
  </si>
  <si>
    <t>1013622333</t>
  </si>
  <si>
    <t>9125</t>
  </si>
  <si>
    <t>TORRES ARDILA LEYDY KATHERIN</t>
  </si>
  <si>
    <t>1144089336</t>
  </si>
  <si>
    <t>17345</t>
  </si>
  <si>
    <t>TORRES OSUNA OMAR RICARDO</t>
  </si>
  <si>
    <t>1020496788</t>
  </si>
  <si>
    <t>16022</t>
  </si>
  <si>
    <t>TORRES RODRIGUEZ EVELYN XIMENA</t>
  </si>
  <si>
    <t>1075316183</t>
  </si>
  <si>
    <t>11331</t>
  </si>
  <si>
    <t>TRUJILLO OCHOA CLAUDIA XIMENA</t>
  </si>
  <si>
    <t>1000851517</t>
  </si>
  <si>
    <t>24703</t>
  </si>
  <si>
    <t>UMAÑA VALENCIA LUCAS</t>
  </si>
  <si>
    <t>Aparece en la plataforma un bono de 288,725</t>
  </si>
  <si>
    <t>31324047</t>
  </si>
  <si>
    <t>29719</t>
  </si>
  <si>
    <t>VALDES BARBOSA ALEJANDRA</t>
  </si>
  <si>
    <t>1151945739</t>
  </si>
  <si>
    <t>10042</t>
  </si>
  <si>
    <t>VALENCIA GUTIERREZ CHRISTIAN</t>
  </si>
  <si>
    <t>2119</t>
  </si>
  <si>
    <t>1143232392</t>
  </si>
  <si>
    <t>17812</t>
  </si>
  <si>
    <t>VANEGAS UPARELA MAURA ALEJANDRA</t>
  </si>
  <si>
    <t>1127533699</t>
  </si>
  <si>
    <t>12656</t>
  </si>
  <si>
    <t>VARELA VELASQUEZ GUILLERMO DE JESUS</t>
  </si>
  <si>
    <t>1019073462</t>
  </si>
  <si>
    <t>29721</t>
  </si>
  <si>
    <t>VARGAS SOTO JUAN PABLO</t>
  </si>
  <si>
    <t>1152459961</t>
  </si>
  <si>
    <t>6319</t>
  </si>
  <si>
    <t>VELEZ HERNANDEZ CAROLINA</t>
  </si>
  <si>
    <t>1090491454</t>
  </si>
  <si>
    <t>24470</t>
  </si>
  <si>
    <t>VERA CASTAÑEDA YHOINER JOSE</t>
  </si>
  <si>
    <t>1127237328</t>
  </si>
  <si>
    <t>24702</t>
  </si>
  <si>
    <t>VERNEY BUITRAGO CARLOS ALBERTO JR</t>
  </si>
  <si>
    <t>1018230359</t>
  </si>
  <si>
    <t>31397</t>
  </si>
  <si>
    <t>VILLADA VANEGAS PAULINA</t>
  </si>
  <si>
    <t>WORKWEAR</t>
  </si>
  <si>
    <t>August</t>
  </si>
  <si>
    <t>1020804440</t>
  </si>
  <si>
    <t>17852</t>
  </si>
  <si>
    <t>GAMBA SANCHEZ MARIA VICTORIA</t>
  </si>
  <si>
    <t>1045678330</t>
  </si>
  <si>
    <t>24355</t>
  </si>
  <si>
    <t>STEVENSON SIERRA DANIELA</t>
  </si>
  <si>
    <t>1151953977</t>
  </si>
  <si>
    <t>8834</t>
  </si>
  <si>
    <t>VELASCO LAÑAS JUAN FELIPE</t>
  </si>
  <si>
    <t>Remofirst - Guard-Buildings, INC</t>
  </si>
  <si>
    <t>2820</t>
  </si>
  <si>
    <t>VALOR TOTAL FACTURA EN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</si>
</sst>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000000"/>
    <numFmt numFmtId="165" formatCode="mmmm&quot;, &quot;yyyy"/>
    <numFmt numFmtId="166" formatCode="[$-10C0A]#,##0;\(#,##0\)"/>
    <numFmt numFmtId="167" formatCode="[$-10C0A]#,##0.00;\(#,##0.00\)"/>
  </numFmts>
  <fonts count="15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0"/>
      <color theme="1"/>
      <name val="Calibri"/>
      <family val="2"/>
    </font>
    <font>
      <sz val="14"/>
      <color rgb="FF1C3A70"/>
      <name val="Tahoma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theme="0"/>
      <name val="Tahoma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sz val="7"/>
      <color theme="1"/>
      <name val="Tahoma"/>
      <family val="2"/>
    </font>
    <font>
      <b/>
      <sz val="7"/>
      <color theme="0"/>
      <name val="Tahoma"/>
      <family val="2"/>
    </font>
    <font>
      <b/>
      <sz val="7"/>
      <name val="Tahoma"/>
      <family val="2"/>
    </font>
    <font>
      <sz val="7"/>
      <name val="Tahoma"/>
      <family val="2"/>
    </font>
    <font>
      <b/>
      <sz val="11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1F4763"/>
        <bgColor rgb="FF1F476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rgb="FFD3D3D3"/>
      </patternFill>
    </fill>
    <fill>
      <patternFill patternType="solid">
        <fgColor theme="1"/>
        <bgColor rgb="FFD3D3D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6E3BC"/>
        <bgColor rgb="FFD6E3BC"/>
      </patternFill>
    </fill>
    <fill>
      <patternFill patternType="solid">
        <fgColor rgb="FFDCFAFA"/>
        <bgColor rgb="FFDCFAFA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rgb="FFD3D3D3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readingOrder="1"/>
    </xf>
    <xf numFmtId="0" fontId="3" fillId="0" borderId="0" xfId="0" applyFont="1" applyAlignment="1">
      <alignment horizontal="left" vertical="center" readingOrder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0" fontId="8" fillId="3" borderId="3" xfId="0" applyFont="1" applyFill="1" applyBorder="1" applyAlignment="1">
      <alignment horizontal="center" vertical="center" readingOrder="1"/>
    </xf>
    <xf numFmtId="0" fontId="8" fillId="4" borderId="3" xfId="0" applyFont="1" applyFill="1" applyBorder="1" applyAlignment="1">
      <alignment horizontal="center" vertical="center" wrapText="1" readingOrder="1"/>
    </xf>
    <xf numFmtId="0" fontId="8" fillId="3" borderId="4" xfId="0" applyFont="1" applyFill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9" fillId="0" borderId="3" xfId="0" applyFont="1" applyBorder="1" applyAlignment="1">
      <alignment vertical="center" readingOrder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10" borderId="0" xfId="0" applyFill="1"/>
    <xf numFmtId="0" fontId="0" fillId="11" borderId="0" xfId="0" applyFill="1"/>
    <xf numFmtId="0" fontId="3" fillId="12" borderId="0" xfId="0" applyFont="1" applyFill="1" applyAlignment="1">
      <alignment horizontal="left" vertical="center" wrapText="1" readingOrder="1"/>
    </xf>
    <xf numFmtId="0" fontId="13" fillId="0" borderId="0" xfId="0" applyFont="1" applyAlignment="1">
      <alignment horizontal="left" vertical="center" wrapText="1" readingOrder="1"/>
    </xf>
    <xf numFmtId="0" fontId="9" fillId="13" borderId="3" xfId="0" applyFont="1" applyFill="1" applyBorder="1" applyAlignment="1">
      <alignment vertical="center" wrapText="1" readingOrder="1"/>
    </xf>
    <xf numFmtId="167" fontId="9" fillId="0" borderId="0" xfId="0" applyNumberFormat="1" applyFont="1" applyAlignment="1">
      <alignment horizontal="right" vertical="center" readingOrder="1"/>
    </xf>
    <xf numFmtId="14" fontId="9" fillId="0" borderId="3" xfId="0" applyNumberFormat="1" applyFont="1" applyBorder="1" applyAlignment="1">
      <alignment vertical="center" readingOrder="1"/>
    </xf>
    <xf numFmtId="165" fontId="10" fillId="0" borderId="3" xfId="0" applyNumberFormat="1" applyFont="1" applyBorder="1" applyAlignment="1">
      <alignment vertical="center" readingOrder="1"/>
    </xf>
    <xf numFmtId="166" fontId="9" fillId="0" borderId="3" xfId="0" applyNumberFormat="1" applyFont="1" applyBorder="1" applyAlignment="1">
      <alignment horizontal="right" vertical="center" readingOrder="1"/>
    </xf>
    <xf numFmtId="166" fontId="9" fillId="5" borderId="3" xfId="0" applyNumberFormat="1" applyFont="1" applyFill="1" applyBorder="1" applyAlignment="1">
      <alignment horizontal="right" vertical="center" readingOrder="1"/>
    </xf>
    <xf numFmtId="166" fontId="9" fillId="0" borderId="0" xfId="0" applyNumberFormat="1" applyFont="1" applyAlignment="1">
      <alignment horizontal="right" vertical="center" readingOrder="1"/>
    </xf>
    <xf numFmtId="166" fontId="11" fillId="6" borderId="3" xfId="0" applyNumberFormat="1" applyFont="1" applyFill="1" applyBorder="1" applyAlignment="1">
      <alignment horizontal="right" vertical="center" readingOrder="1"/>
    </xf>
    <xf numFmtId="166" fontId="9" fillId="7" borderId="3" xfId="0" applyNumberFormat="1" applyFont="1" applyFill="1" applyBorder="1" applyAlignment="1">
      <alignment horizontal="right" vertical="center" readingOrder="1"/>
    </xf>
    <xf numFmtId="167" fontId="9" fillId="0" borderId="3" xfId="0" applyNumberFormat="1" applyFont="1" applyBorder="1" applyAlignment="1">
      <alignment horizontal="right" vertical="center" readingOrder="1"/>
    </xf>
    <xf numFmtId="167" fontId="9" fillId="8" borderId="3" xfId="0" applyNumberFormat="1" applyFont="1" applyFill="1" applyBorder="1" applyAlignment="1">
      <alignment horizontal="right" vertical="center" readingOrder="1"/>
    </xf>
    <xf numFmtId="167" fontId="9" fillId="9" borderId="3" xfId="0" applyNumberFormat="1" applyFont="1" applyFill="1" applyBorder="1" applyAlignment="1">
      <alignment horizontal="right" vertical="center" readingOrder="1"/>
    </xf>
    <xf numFmtId="0" fontId="9" fillId="13" borderId="3" xfId="0" applyFont="1" applyFill="1" applyBorder="1" applyAlignment="1">
      <alignment vertical="center" readingOrder="1"/>
    </xf>
    <xf numFmtId="166" fontId="9" fillId="12" borderId="3" xfId="0" applyNumberFormat="1" applyFont="1" applyFill="1" applyBorder="1" applyAlignment="1">
      <alignment horizontal="right" vertical="center" readingOrder="1"/>
    </xf>
    <xf numFmtId="166" fontId="11" fillId="14" borderId="3" xfId="0" applyNumberFormat="1" applyFont="1" applyFill="1" applyBorder="1" applyAlignment="1">
      <alignment horizontal="right" vertical="center" readingOrder="1"/>
    </xf>
    <xf numFmtId="167" fontId="9" fillId="12" borderId="0" xfId="0" applyNumberFormat="1" applyFont="1" applyFill="1" applyAlignment="1">
      <alignment horizontal="right" vertical="center" readingOrder="1"/>
    </xf>
    <xf numFmtId="166" fontId="9" fillId="9" borderId="3" xfId="0" applyNumberFormat="1" applyFont="1" applyFill="1" applyBorder="1" applyAlignment="1">
      <alignment horizontal="right" vertical="center" readingOrder="1"/>
    </xf>
    <xf numFmtId="166" fontId="12" fillId="0" borderId="3" xfId="0" applyNumberFormat="1" applyFont="1" applyBorder="1" applyAlignment="1">
      <alignment horizontal="right" vertical="center" readingOrder="1"/>
    </xf>
    <xf numFmtId="43" fontId="9" fillId="9" borderId="3" xfId="0" applyNumberFormat="1" applyFont="1" applyFill="1" applyBorder="1" applyAlignment="1">
      <alignment horizontal="right" vertical="center" readingOrder="1"/>
    </xf>
    <xf numFmtId="167" fontId="9" fillId="0" borderId="0" xfId="0" applyNumberFormat="1" applyFont="1" applyAlignment="1">
      <alignment vertical="center" readingOrder="1"/>
    </xf>
    <xf numFmtId="0" fontId="9" fillId="15" borderId="3" xfId="0" applyFont="1" applyFill="1" applyBorder="1" applyAlignment="1">
      <alignment vertical="center" readingOrder="1"/>
    </xf>
    <xf numFmtId="166" fontId="9" fillId="16" borderId="3" xfId="0" applyNumberFormat="1" applyFont="1" applyFill="1" applyBorder="1" applyAlignment="1">
      <alignment horizontal="right" vertical="center" readingOrder="1"/>
    </xf>
    <xf numFmtId="4" fontId="13" fillId="16" borderId="0" xfId="0" applyNumberFormat="1" applyFont="1" applyFill="1" applyAlignment="1">
      <alignment vertical="center"/>
    </xf>
    <xf numFmtId="0" fontId="9" fillId="0" borderId="3" xfId="0" applyFont="1" applyBorder="1" applyAlignment="1">
      <alignment vertical="center" wrapText="1" readingOrder="1"/>
    </xf>
    <xf numFmtId="14" fontId="9" fillId="0" borderId="3" xfId="0" applyNumberFormat="1" applyFont="1" applyBorder="1" applyAlignment="1">
      <alignment vertical="center" wrapText="1" readingOrder="1"/>
    </xf>
    <xf numFmtId="165" fontId="10" fillId="0" borderId="3" xfId="0" applyNumberFormat="1" applyFont="1" applyBorder="1" applyAlignment="1">
      <alignment vertical="center" wrapText="1" readingOrder="1"/>
    </xf>
    <xf numFmtId="166" fontId="13" fillId="0" borderId="0" xfId="0" applyNumberFormat="1" applyFont="1" applyAlignment="1">
      <alignment vertical="center"/>
    </xf>
    <xf numFmtId="166" fontId="9" fillId="5" borderId="3" xfId="0" applyNumberFormat="1" applyFont="1" applyFill="1" applyBorder="1" applyAlignment="1">
      <alignment horizontal="right" vertical="center" wrapText="1" readingOrder="1"/>
    </xf>
    <xf numFmtId="166" fontId="9" fillId="9" borderId="3" xfId="0" applyNumberFormat="1" applyFont="1" applyFill="1" applyBorder="1" applyAlignment="1">
      <alignment horizontal="right" vertical="center" wrapText="1" readingOrder="1"/>
    </xf>
    <xf numFmtId="166" fontId="11" fillId="6" borderId="3" xfId="0" applyNumberFormat="1" applyFont="1" applyFill="1" applyBorder="1" applyAlignment="1">
      <alignment horizontal="right" vertical="center" wrapText="1" readingOrder="1"/>
    </xf>
    <xf numFmtId="166" fontId="12" fillId="0" borderId="3" xfId="0" applyNumberFormat="1" applyFont="1" applyBorder="1" applyAlignment="1">
      <alignment horizontal="right" vertical="center" wrapText="1" readingOrder="1"/>
    </xf>
    <xf numFmtId="166" fontId="9" fillId="7" borderId="3" xfId="0" applyNumberFormat="1" applyFont="1" applyFill="1" applyBorder="1" applyAlignment="1">
      <alignment horizontal="right" vertical="center" wrapText="1" readingOrder="1"/>
    </xf>
    <xf numFmtId="166" fontId="9" fillId="0" borderId="3" xfId="0" applyNumberFormat="1" applyFont="1" applyBorder="1" applyAlignment="1">
      <alignment horizontal="right" vertical="center" wrapText="1" readingOrder="1"/>
    </xf>
    <xf numFmtId="167" fontId="9" fillId="0" borderId="3" xfId="0" applyNumberFormat="1" applyFont="1" applyBorder="1" applyAlignment="1">
      <alignment horizontal="right" vertical="center" wrapText="1" readingOrder="1"/>
    </xf>
    <xf numFmtId="167" fontId="9" fillId="8" borderId="3" xfId="0" applyNumberFormat="1" applyFont="1" applyFill="1" applyBorder="1" applyAlignment="1">
      <alignment horizontal="right" vertical="center" wrapText="1" readingOrder="1"/>
    </xf>
    <xf numFmtId="4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166" fontId="1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7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273.641291319444" createdVersion="8" refreshedVersion="8" minRefreshableVersion="3" recordCount="165" xr:uid="{656823F0-2AED-489E-B226-051EA5B9BCF6}">
  <cacheSource type="worksheet">
    <worksheetSource ref="A3:H168" sheet="Invoicing"/>
  </cacheSource>
  <cacheFields count="8">
    <cacheField name="EMPLOYEE CODE" numFmtId="0">
      <sharedItems/>
    </cacheField>
    <cacheField name="EE RF WID" numFmtId="0">
      <sharedItems/>
    </cacheField>
    <cacheField name="NAME" numFmtId="0">
      <sharedItems/>
    </cacheField>
    <cacheField name="Onboarding Date" numFmtId="14">
      <sharedItems containsSemiMixedTypes="0" containsNonDate="0" containsDate="1" containsString="0" minDate="2022-08-01T05:00:16" maxDate="2026-09-07T05:00:16"/>
    </cacheField>
    <cacheField name="Offboarding Date" numFmtId="14">
      <sharedItems containsNonDate="0" containsDate="1" containsString="0" containsBlank="1" minDate="2026-09-04T05:00:16" maxDate="2027-06-30T05:00:16"/>
    </cacheField>
    <cacheField name="EE Status (onboarding/active/offboarding)" numFmtId="0">
      <sharedItems/>
    </cacheField>
    <cacheField name="Country" numFmtId="0">
      <sharedItems/>
    </cacheField>
    <cacheField name="Customer Name" numFmtId="0">
      <sharedItems count="43">
        <s v="Remofirst - Insightful.io Inc"/>
        <s v="Remofirst - Remote Medicine, Inc."/>
        <s v="Remofirst - Pratham International, Inc"/>
        <s v="Remofirst - Porch.com, Inc."/>
        <s v="Remofirst - RADPAIR"/>
        <s v="Remofirst - CarbonBetter, LLC"/>
        <s v="Remofirst - Metrickal"/>
        <s v="Remofirst - Islamic Relief - Ir Canada"/>
        <s v="Remofirst - Salty Slopes LLC"/>
        <s v="Remofirst - Bayview Dental Inc"/>
        <s v="Remofirst - IGS Solutions"/>
        <s v="Remofirst - BRIT AI Web Solutions LLC"/>
        <s v="Remofirst - Nomi Gmbh"/>
        <s v="Remofirst - Quantic Vision, S.A."/>
        <s v="Remofirst - 1OAK SARL/1Ofakind"/>
        <s v="Remofirst - COPADATA US CORP"/>
        <s v="4976 - Remofirst - Revby LLC -"/>
        <s v="Remorfirst - Notable Growth, Inc"/>
        <s v="Remofirst - Pandesco Inc."/>
        <s v="Remofirst - TC1 Corporation S.A.C"/>
        <s v="Remofirst - ClearFreight Inc"/>
        <s v="Remofirst - Sinergia Animal"/>
        <s v="Remofirst - Coop Edgar"/>
        <s v="Remofirst - International Concierge Inc"/>
        <s v="Remofirst - MicroDyn Medical SystemsLLC"/>
        <s v="Remofirst - BÜCHI Labortechnik AG"/>
        <s v="Remofirst - Prometryx, Inc"/>
        <s v="Remofirst - NORDITECH AB"/>
        <s v="Remofirst - Roger R. Foisy Professional"/>
        <s v="Remofirst - AMG Global Distribution Inc"/>
        <s v="Remofirst - Fabletics, LLC"/>
        <s v="Remofirst - Facade Studio, Llc"/>
        <s v="Remofirst - Spitfire Strategies LLC"/>
        <s v="Remofirst - Harmonic Desing, INC"/>
        <s v="Remofirst - Luzidos Inc."/>
        <s v="Remofirst - Ferrous Systems GmbH"/>
        <s v="Remofirst - Magno Jet Indústria Ltda"/>
        <s v="Remofirst - Asm Law Group"/>
        <s v="Remofirst - ND Defense LLC"/>
        <s v="Remofirst - AG Law Firm LLC"/>
        <s v="Remofirst - BGB Group / BGB Communicati"/>
        <s v="Remofirst - Ultramain Systems, Inc."/>
        <s v="Remofirst - Berkheimer Enterprises LL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1017225217"/>
    <s v="3131"/>
    <s v="AGUDELO DURANGO YESSELA"/>
    <d v="2023-11-01T05:00:16"/>
    <m/>
    <s v="active"/>
    <s v="Colombia"/>
    <x v="0"/>
  </r>
  <r>
    <s v="1032387384"/>
    <s v="12985"/>
    <s v="AGUDELO MAGALHAES MONICA MARIA"/>
    <d v="2025-10-15T05:00:16"/>
    <m/>
    <s v="active"/>
    <s v="Colombia"/>
    <x v="1"/>
  </r>
  <r>
    <s v="1020741198"/>
    <s v="15068"/>
    <s v="AGUDELO NAVARRO DANIEL"/>
    <d v="2026-02-17T05:00:16"/>
    <m/>
    <s v="active"/>
    <s v="Colombia"/>
    <x v="2"/>
  </r>
  <r>
    <s v="1006096522"/>
    <s v="26776"/>
    <s v="AGUILAR ZAMORA JUAN ESTEBAN"/>
    <d v="2026-08-10T05:00:16"/>
    <m/>
    <s v="active"/>
    <s v="Colombia"/>
    <x v="3"/>
  </r>
  <r>
    <s v="1152453999"/>
    <s v="9546"/>
    <s v="ALARCON VASQUEZ JOHAN MAURICIO"/>
    <d v="2025-04-14T05:00:16"/>
    <m/>
    <s v="active"/>
    <s v="Colombia"/>
    <x v="4"/>
  </r>
  <r>
    <s v="1007722318"/>
    <s v="9097"/>
    <s v="ALEMAN ROJAS LAURA ALEJANDRA"/>
    <d v="2025-03-18T05:00:16"/>
    <m/>
    <s v="active"/>
    <s v="Colombia"/>
    <x v="5"/>
  </r>
  <r>
    <s v="1122653818"/>
    <s v="24472"/>
    <s v="ALVAREZ BEDOYA JULIETH NATALIA"/>
    <d v="2026-07-16T05:00:16"/>
    <m/>
    <s v="active"/>
    <s v="Colombia"/>
    <x v="6"/>
  </r>
  <r>
    <s v="1089096102"/>
    <s v="17217"/>
    <s v="ALVAREZ CORRALES SOFIA"/>
    <d v="2026-04-08T05:00:16"/>
    <d v="2027-04-07T05:00:16"/>
    <s v="active"/>
    <s v="Colombia"/>
    <x v="7"/>
  </r>
  <r>
    <s v="1006877595"/>
    <s v="11869"/>
    <s v="ALVAREZ LOPEZ JUAN ESTEBAN"/>
    <d v="2025-10-01T05:00:16"/>
    <m/>
    <s v="active"/>
    <s v="Colombia"/>
    <x v="8"/>
  </r>
  <r>
    <s v="1003230462"/>
    <s v="24586"/>
    <s v="AMAYA PEREZ ANDRES CAMILO"/>
    <d v="2026-07-06T05:00:16"/>
    <m/>
    <s v="active"/>
    <s v="Colombia"/>
    <x v="3"/>
  </r>
  <r>
    <s v="1097782066"/>
    <s v="17797"/>
    <s v="ANAYA GOMEZ NEIDY LEE"/>
    <d v="2026-05-04T05:00:16"/>
    <m/>
    <s v="active"/>
    <s v="Colombia"/>
    <x v="5"/>
  </r>
  <r>
    <s v="1000894430"/>
    <s v="16990"/>
    <s v="ARENAS BARRERA ALEJANDRO"/>
    <d v="2026-04-07T05:00:16"/>
    <m/>
    <s v="active"/>
    <s v="Colombia"/>
    <x v="9"/>
  </r>
  <r>
    <s v="1127350796"/>
    <s v="11330"/>
    <s v="ARIAS CHACON MILEINER GABRIELA"/>
    <d v="2025-08-12T05:00:16"/>
    <m/>
    <s v="active"/>
    <s v="Colombia"/>
    <x v="10"/>
  </r>
  <r>
    <s v="1092851592"/>
    <s v="26834"/>
    <s v="ARRUBLA VELEZ SARA LUCIA"/>
    <d v="2026-08-10T05:00:16"/>
    <m/>
    <s v="active"/>
    <s v="Colombia"/>
    <x v="3"/>
  </r>
  <r>
    <s v="1043640437"/>
    <s v="15940"/>
    <s v="ASHOOK CASTRO LUZ ANGELA"/>
    <d v="2026-03-01T05:00:16"/>
    <m/>
    <s v="active"/>
    <s v="Colombia"/>
    <x v="11"/>
  </r>
  <r>
    <s v="1006052223"/>
    <s v="13907"/>
    <s v="BACCA MONSALVE MARÍA CAMILA"/>
    <d v="2025-12-01T05:00:16"/>
    <m/>
    <s v="active"/>
    <s v="Colombia"/>
    <x v="5"/>
  </r>
  <r>
    <s v="80925964"/>
    <s v="26822"/>
    <s v="BAENA VIDES JOSE DOMINGO"/>
    <d v="2026-08-01T05:00:16"/>
    <d v="2027-04-30T05:00:16"/>
    <s v="active"/>
    <s v="Colombia"/>
    <x v="12"/>
  </r>
  <r>
    <s v="1063304248"/>
    <s v="24404"/>
    <s v="BALLESTEROS ZAPATA CARLOS MARIO"/>
    <d v="2026-07-01T05:00:16"/>
    <m/>
    <s v="active"/>
    <s v="Colombia"/>
    <x v="3"/>
  </r>
  <r>
    <s v="1024527496"/>
    <s v="28164"/>
    <s v="BARRERO GUERRERO SANTIAGO ANDRES"/>
    <d v="2026-08-10T05:00:16"/>
    <m/>
    <s v="active"/>
    <s v="Colombia"/>
    <x v="3"/>
  </r>
  <r>
    <s v="1014207714"/>
    <s v="13528"/>
    <s v="BARRETO RUIZ JONATHAN JAVIER"/>
    <d v="2025-11-26T05:00:16"/>
    <d v="2026-11-25T05:00:16"/>
    <s v="active"/>
    <s v="Colombia"/>
    <x v="7"/>
  </r>
  <r>
    <s v="1047484779"/>
    <s v="9182"/>
    <s v="BARRIOS ANGULO SANDRA LUCIA"/>
    <d v="2025-04-01T05:00:16"/>
    <m/>
    <s v="active"/>
    <s v="Colombia"/>
    <x v="13"/>
  </r>
  <r>
    <s v="1032385115"/>
    <s v="23832"/>
    <s v="BARRIOS AVILA ALEXANDRA CATHERINE"/>
    <d v="2026-06-15T05:00:16"/>
    <d v="2027-06-30T05:00:16"/>
    <s v="active"/>
    <s v="Colombia"/>
    <x v="7"/>
  </r>
  <r>
    <s v="6558680"/>
    <s v="938"/>
    <s v="BEAUVERD  FLORENT GUY"/>
    <d v="2022-10-13T05:00:16"/>
    <m/>
    <s v="active"/>
    <s v="Colombia"/>
    <x v="14"/>
  </r>
  <r>
    <s v="1016075729"/>
    <s v="15861"/>
    <s v="BERNAL OSUNA ASTRID NATHALIA"/>
    <d v="2026-02-17T05:00:16"/>
    <m/>
    <s v="active"/>
    <s v="Colombia"/>
    <x v="15"/>
  </r>
  <r>
    <s v="1020786773"/>
    <s v="32341"/>
    <s v="BERNAL PLATA JUAN DIEGO"/>
    <d v="2026-09-07T05:00:16"/>
    <m/>
    <s v="onboarding"/>
    <s v="Colombia"/>
    <x v="16"/>
  </r>
  <r>
    <s v="80715428"/>
    <s v="24410"/>
    <s v="BETANCOURT LOAIZA MAURICIO"/>
    <d v="2026-07-14T05:00:16"/>
    <m/>
    <s v="active"/>
    <s v="Colombia"/>
    <x v="3"/>
  </r>
  <r>
    <s v="1000533489"/>
    <s v="12343"/>
    <s v="BETANCUR GIRALDO SUSANA"/>
    <d v="2025-09-15T05:00:16"/>
    <m/>
    <s v="active"/>
    <s v="Colombia"/>
    <x v="5"/>
  </r>
  <r>
    <s v="1098816827"/>
    <s v="24408"/>
    <s v="BISCARDI ESPINOSA CAMILO ALBERTO"/>
    <d v="2026-07-06T05:00:16"/>
    <m/>
    <s v="active"/>
    <s v="Colombia"/>
    <x v="3"/>
  </r>
  <r>
    <s v="1026298001"/>
    <s v="5660"/>
    <s v="BONIL ROMERO SARA"/>
    <d v="2024-08-16T05:00:16"/>
    <m/>
    <s v="active"/>
    <s v="Colombia"/>
    <x v="7"/>
  </r>
  <r>
    <s v="1098813778"/>
    <s v="24471"/>
    <s v="BOTELLO CERMEÑO HAZLY XILENA"/>
    <d v="2026-07-16T05:00:16"/>
    <m/>
    <s v="active"/>
    <s v="Colombia"/>
    <x v="6"/>
  </r>
  <r>
    <s v="1006428135"/>
    <s v="24542"/>
    <s v="BURITICA CASTAÑEDA MARIA JOSE"/>
    <d v="2026-06-29T05:00:16"/>
    <m/>
    <s v="active"/>
    <s v="Colombia"/>
    <x v="17"/>
  </r>
  <r>
    <s v="19248782"/>
    <s v="10134"/>
    <s v="BUSTAMANTE GOEZ VICTOR ALONSO"/>
    <d v="2025-05-19T05:00:16"/>
    <m/>
    <s v="active"/>
    <s v="Colombia"/>
    <x v="5"/>
  </r>
  <r>
    <s v="16074277"/>
    <s v="22892"/>
    <s v="CALLE SUAREZ JUAN CAMILO"/>
    <d v="2026-05-18T05:00:16"/>
    <m/>
    <s v="active"/>
    <s v="Colombia"/>
    <x v="18"/>
  </r>
  <r>
    <s v="1037629308"/>
    <s v="10069"/>
    <s v="CANO ALVAREZ SUSANA"/>
    <d v="2026-09-07T05:00:16"/>
    <m/>
    <s v="onboarding"/>
    <s v="Colombia"/>
    <x v="3"/>
  </r>
  <r>
    <s v="1234097381"/>
    <s v="22015"/>
    <s v="CANTILLO CARDENAS ISABELLA"/>
    <d v="2026-05-11T05:00:16"/>
    <m/>
    <s v="active"/>
    <s v="Colombia"/>
    <x v="19"/>
  </r>
  <r>
    <s v="1035227557"/>
    <s v="24072"/>
    <s v="CARDONA BETANCUR ANA MARIA"/>
    <d v="2026-06-17T05:00:16"/>
    <m/>
    <s v="active"/>
    <s v="Colombia"/>
    <x v="5"/>
  </r>
  <r>
    <s v="1037637234"/>
    <s v="25017"/>
    <s v="CARDONA CADAVID YEFERSON"/>
    <d v="2026-07-21T05:00:16"/>
    <m/>
    <s v="active"/>
    <s v="Colombia"/>
    <x v="3"/>
  </r>
  <r>
    <s v="1017272020"/>
    <s v="15344"/>
    <s v="CARDONA RIOS SARA"/>
    <d v="2026-02-12T05:00:16"/>
    <m/>
    <s v="active"/>
    <s v="Colombia"/>
    <x v="20"/>
  </r>
  <r>
    <s v="1019148396"/>
    <s v="10650"/>
    <s v="CASAS GOMEZ GABRIELLA"/>
    <d v="2025-06-16T05:00:16"/>
    <m/>
    <s v="active"/>
    <s v="Colombia"/>
    <x v="21"/>
  </r>
  <r>
    <s v="1136887342"/>
    <s v="9127"/>
    <s v="CASTAÑO ALVAREZ PAULA ESTEFANIA"/>
    <d v="2025-04-01T05:00:16"/>
    <m/>
    <s v="active"/>
    <s v="Colombia"/>
    <x v="21"/>
  </r>
  <r>
    <s v="1018482773"/>
    <s v="9126"/>
    <s v="CASTAÑO CORREA PAOLA CATALINA"/>
    <d v="2025-04-01T05:00:16"/>
    <m/>
    <s v="active"/>
    <s v="Colombia"/>
    <x v="21"/>
  </r>
  <r>
    <s v="1144056834"/>
    <s v="24701"/>
    <s v="CHAVES LOPEZ JESSICA VIVIANA"/>
    <d v="2026-07-21T05:00:16"/>
    <m/>
    <s v="active"/>
    <s v="Colombia"/>
    <x v="3"/>
  </r>
  <r>
    <s v="1016943239"/>
    <s v="17466"/>
    <s v="CHINGATE SABOGAL JOSUE"/>
    <d v="2026-04-20T05:00:16"/>
    <m/>
    <s v="active"/>
    <s v="Colombia"/>
    <x v="3"/>
  </r>
  <r>
    <s v="1192759119"/>
    <s v="31403"/>
    <s v="CORREA URQUIJO BRAYAN ESTIVEN"/>
    <d v="2026-08-24T05:00:16"/>
    <m/>
    <s v="active"/>
    <s v="Colombia"/>
    <x v="5"/>
  </r>
  <r>
    <s v="52896186"/>
    <s v="9014"/>
    <s v="CORREDOR CIFUENTES GLORIA PAULINA"/>
    <d v="2025-03-12T05:00:16"/>
    <m/>
    <s v="active"/>
    <s v="Colombia"/>
    <x v="7"/>
  </r>
  <r>
    <s v="340881"/>
    <s v="3983"/>
    <s v="COYER  NICOLAS HUGUES"/>
    <d v="2024-03-04T05:00:16"/>
    <m/>
    <s v="active"/>
    <s v="Colombia"/>
    <x v="22"/>
  </r>
  <r>
    <s v="1024505973"/>
    <s v="7197"/>
    <s v="CRUZ RAYO SEHNNEYDERMAN"/>
    <d v="2024-11-15T05:00:16"/>
    <m/>
    <s v="active"/>
    <s v="Colombia"/>
    <x v="23"/>
  </r>
  <r>
    <s v="1032378030"/>
    <s v="7265"/>
    <s v="DAZA BEJARANO HANSEL"/>
    <d v="2024-12-04T05:00:16"/>
    <m/>
    <s v="active"/>
    <s v="Colombia"/>
    <x v="24"/>
  </r>
  <r>
    <s v="1096249977"/>
    <s v="31395"/>
    <s v="DELGADO LOBO NICOLAS FERNANDO"/>
    <d v="2026-08-24T05:00:16"/>
    <m/>
    <s v="active"/>
    <s v="Colombia"/>
    <x v="5"/>
  </r>
  <r>
    <s v="1095792024"/>
    <s v="10129"/>
    <s v="DIAZ RANGEL CESAR AUGUSTO"/>
    <d v="2025-05-13T05:00:16"/>
    <m/>
    <s v="active"/>
    <s v="Colombia"/>
    <x v="25"/>
  </r>
  <r>
    <s v="1037649185"/>
    <s v="25109"/>
    <s v="DIAZ VELEZ GREGORIO"/>
    <d v="2026-07-14T05:00:16"/>
    <m/>
    <s v="active"/>
    <s v="Colombia"/>
    <x v="26"/>
  </r>
  <r>
    <s v="1127227157"/>
    <s v="24861"/>
    <s v="DURAN SAMBONY YURY IVONNE"/>
    <d v="2026-07-21T05:00:16"/>
    <m/>
    <s v="active"/>
    <s v="Colombia"/>
    <x v="3"/>
  </r>
  <r>
    <s v="43612463"/>
    <s v="14290"/>
    <s v="DURANGO MEJIA LYDA MARIA"/>
    <d v="2025-12-08T05:00:16"/>
    <m/>
    <s v="active"/>
    <s v="Colombia"/>
    <x v="21"/>
  </r>
  <r>
    <s v="1037642445"/>
    <s v="16027"/>
    <s v="ECHAVARRÍA ORTIZ MARIAN"/>
    <d v="2026-03-01T05:00:16"/>
    <m/>
    <s v="active"/>
    <s v="Colombia"/>
    <x v="20"/>
  </r>
  <r>
    <s v="1036657807"/>
    <s v="10163"/>
    <s v="ESCOBAR CARDONA CAROLINA"/>
    <d v="2025-05-26T05:00:16"/>
    <m/>
    <s v="active"/>
    <s v="Colombia"/>
    <x v="21"/>
  </r>
  <r>
    <s v="1020493231"/>
    <s v="17799"/>
    <s v="ESTRADA BRAN LUIS ALEJANDRO"/>
    <d v="2026-05-04T05:00:16"/>
    <m/>
    <s v="active"/>
    <s v="Colombia"/>
    <x v="20"/>
  </r>
  <r>
    <s v="73232088"/>
    <s v="24960"/>
    <s v="FERIA BRAVO JOSIAS DAVID"/>
    <d v="2026-07-21T05:00:16"/>
    <m/>
    <s v="active"/>
    <s v="Colombia"/>
    <x v="3"/>
  </r>
  <r>
    <s v="1011322309"/>
    <s v="14742"/>
    <s v="FERNANDEZ ACOSTA JUANITA"/>
    <d v="2026-01-08T05:00:16"/>
    <m/>
    <s v="active"/>
    <s v="Colombia"/>
    <x v="27"/>
  </r>
  <r>
    <s v="1128394920"/>
    <s v="5425"/>
    <s v="FRANCO MEJÍA LISSET CRISTINA"/>
    <d v="2024-08-06T05:00:16"/>
    <m/>
    <s v="active"/>
    <s v="Colombia"/>
    <x v="26"/>
  </r>
  <r>
    <s v="1152185075"/>
    <s v="13681"/>
    <s v="GALEANO VASQUEZ DANIEL ALBERTO"/>
    <d v="2025-12-01T05:00:16"/>
    <m/>
    <s v="active"/>
    <s v="Colombia"/>
    <x v="28"/>
  </r>
  <r>
    <s v="29117374"/>
    <s v="4598"/>
    <s v="GARCIA ARRIOLA MARIA CAROLINA"/>
    <d v="2024-05-20T05:00:16"/>
    <m/>
    <s v="active"/>
    <s v="Colombia"/>
    <x v="29"/>
  </r>
  <r>
    <s v="1000556832"/>
    <s v="15827"/>
    <s v="GIRALDO ÁLVAREZ DAVID"/>
    <d v="2026-02-23T05:00:16"/>
    <m/>
    <s v="active"/>
    <s v="Colombia"/>
    <x v="5"/>
  </r>
  <r>
    <s v="1037658525"/>
    <s v="16025"/>
    <s v="GIRALDO MONTOYA VERÓNICA"/>
    <d v="2026-03-01T05:00:16"/>
    <m/>
    <s v="active"/>
    <s v="Colombia"/>
    <x v="20"/>
  </r>
  <r>
    <s v="1000440251"/>
    <s v="6970"/>
    <s v="GIRALDO ZAPATA MARIA ANTONIA"/>
    <d v="2024-11-01T05:00:16"/>
    <m/>
    <s v="active"/>
    <s v="Colombia"/>
    <x v="5"/>
  </r>
  <r>
    <s v="1019110289"/>
    <s v="5959"/>
    <s v="GOMEZ MEDINA MATEO"/>
    <d v="2024-09-16T05:00:16"/>
    <m/>
    <s v="active"/>
    <s v="Colombia"/>
    <x v="7"/>
  </r>
  <r>
    <s v="1020103230"/>
    <s v="9549"/>
    <s v="GOMEZ OQUENDO ISABELLA"/>
    <d v="2025-04-14T05:00:16"/>
    <m/>
    <s v="active"/>
    <s v="Colombia"/>
    <x v="4"/>
  </r>
  <r>
    <s v="1152715167"/>
    <s v="16023"/>
    <s v="GÓMEZ VÉLEZ VANESSA"/>
    <d v="2026-03-01T05:00:16"/>
    <m/>
    <s v="active"/>
    <s v="Colombia"/>
    <x v="20"/>
  </r>
  <r>
    <s v="1192764074"/>
    <s v="25113"/>
    <s v="GONZALEZ CLAVIJO BRYAM ANDRES"/>
    <d v="2026-08-03T05:00:16"/>
    <m/>
    <s v="active"/>
    <s v="Colombia"/>
    <x v="3"/>
  </r>
  <r>
    <s v="1006109101"/>
    <s v="24858"/>
    <s v="GONZALEZ DURAN SOFIA"/>
    <d v="2026-07-02T05:00:16"/>
    <m/>
    <s v="active"/>
    <s v="Colombia"/>
    <x v="10"/>
  </r>
  <r>
    <s v="1010124791"/>
    <s v="17999"/>
    <s v="GONZALEZ FRASSER CARLOS FELIPE"/>
    <d v="2026-05-18T05:00:16"/>
    <m/>
    <s v="active"/>
    <s v="Colombia"/>
    <x v="30"/>
  </r>
  <r>
    <s v="1126984056"/>
    <s v="24409"/>
    <s v="GONZALEZ MORENO MAURICIO"/>
    <d v="2026-07-21T05:00:16"/>
    <m/>
    <s v="active"/>
    <s v="Colombia"/>
    <x v="3"/>
  </r>
  <r>
    <s v="1037641662"/>
    <s v="10133"/>
    <s v="GONZALEZ RESTREPO EDUARDO"/>
    <d v="2025-05-21T05:00:16"/>
    <m/>
    <s v="active"/>
    <s v="Colombia"/>
    <x v="26"/>
  </r>
  <r>
    <s v="1152699239"/>
    <s v="16021"/>
    <s v="GONZÁLEZ VARGAS ERIKA"/>
    <d v="2026-03-01T05:00:16"/>
    <m/>
    <s v="active"/>
    <s v="Colombia"/>
    <x v="20"/>
  </r>
  <r>
    <s v="1017253667"/>
    <s v="24798"/>
    <s v="GRISALES POSADA MATEO"/>
    <d v="2026-07-06T05:00:16"/>
    <d v="2026-12-31T05:00:16"/>
    <s v="active"/>
    <s v="Colombia"/>
    <x v="18"/>
  </r>
  <r>
    <s v="2485624"/>
    <s v="26833"/>
    <s v="GUILLEN GUITIERREZ NELSON RODOLFO"/>
    <d v="2026-08-10T05:00:16"/>
    <m/>
    <s v="active"/>
    <s v="Colombia"/>
    <x v="3"/>
  </r>
  <r>
    <s v="1006972067"/>
    <s v="23835"/>
    <s v="GUTIERREZ FRANCO STEVEN"/>
    <d v="2026-06-16T05:00:16"/>
    <m/>
    <s v="active"/>
    <s v="Colombia"/>
    <x v="3"/>
  </r>
  <r>
    <s v="5867898"/>
    <s v="24704"/>
    <s v="HERNANDEZ CONTRERAS LUIS DANIEL"/>
    <d v="2026-07-21T05:00:16"/>
    <m/>
    <s v="active"/>
    <s v="Colombia"/>
    <x v="3"/>
  </r>
  <r>
    <s v="1000796528"/>
    <s v="22039"/>
    <s v="HERRERA AKERS SANTIAGO"/>
    <d v="2026-05-18T05:00:16"/>
    <m/>
    <s v="active"/>
    <s v="Colombia"/>
    <x v="0"/>
  </r>
  <r>
    <s v="1035235876"/>
    <s v="8529"/>
    <s v="HERRERA BOTERO CRISTIAN ANDRES"/>
    <d v="2025-02-17T05:00:16"/>
    <m/>
    <s v="active"/>
    <s v="Colombia"/>
    <x v="5"/>
  </r>
  <r>
    <s v="1019140661"/>
    <s v="13895"/>
    <s v="HERRERA LOPEZ MARIANA"/>
    <d v="2025-12-01T05:00:16"/>
    <m/>
    <s v="active"/>
    <s v="Colombia"/>
    <x v="21"/>
  </r>
  <r>
    <s v="1037612252"/>
    <s v="5699"/>
    <s v="HINCAPIE MONTOYA JUAN CAMILO"/>
    <d v="2024-08-20T05:00:16"/>
    <m/>
    <s v="active"/>
    <s v="Colombia"/>
    <x v="5"/>
  </r>
  <r>
    <s v="94327912"/>
    <s v="6662"/>
    <s v="HURTADO DURAN ANDRES EDUARDO"/>
    <d v="2024-10-22T05:00:16"/>
    <m/>
    <s v="active"/>
    <s v="Colombia"/>
    <x v="31"/>
  </r>
  <r>
    <s v="1152445542"/>
    <s v="24524"/>
    <s v="HURTADO JARAMILLO ANDREA"/>
    <d v="2026-07-14T05:00:16"/>
    <m/>
    <s v="active"/>
    <s v="Colombia"/>
    <x v="20"/>
  </r>
  <r>
    <s v="1036638214"/>
    <s v="11586"/>
    <s v="JIMENEZ RUA FELIPE"/>
    <d v="2025-08-11T05:00:16"/>
    <m/>
    <s v="active"/>
    <s v="Colombia"/>
    <x v="5"/>
  </r>
  <r>
    <s v="1017258148"/>
    <s v="31394"/>
    <s v="JURADO RIVERA MARIA CAMILA"/>
    <d v="2026-08-24T05:00:16"/>
    <m/>
    <s v="active"/>
    <s v="Colombia"/>
    <x v="5"/>
  </r>
  <r>
    <s v="8207192"/>
    <s v="14632"/>
    <s v="KLERLEIN  MARY ELEANOR"/>
    <d v="2026-01-13T05:00:16"/>
    <m/>
    <s v="active"/>
    <s v="Colombia"/>
    <x v="32"/>
  </r>
  <r>
    <s v="1078370550"/>
    <s v="5658"/>
    <s v="LEGUIZAMON CLAVIJO CINDY CAROLINA"/>
    <d v="2024-08-16T05:00:16"/>
    <m/>
    <s v="active"/>
    <s v="Colombia"/>
    <x v="7"/>
  </r>
  <r>
    <s v="1082990030"/>
    <s v="10755"/>
    <s v="LINARES SANTOS LAURA MARCELA"/>
    <d v="2025-06-24T05:00:16"/>
    <m/>
    <s v="active"/>
    <s v="Colombia"/>
    <x v="5"/>
  </r>
  <r>
    <s v="1042090066"/>
    <s v="31396"/>
    <s v="LONDOÑO AGUDELO FLOR XIMENA"/>
    <d v="2026-08-24T05:00:16"/>
    <m/>
    <s v="active"/>
    <s v="Colombia"/>
    <x v="5"/>
  </r>
  <r>
    <s v="1036687254"/>
    <s v="16020"/>
    <s v="LONDOÑO TRUJILLO JAQUELINE"/>
    <d v="2026-03-01T05:00:16"/>
    <m/>
    <s v="active"/>
    <s v="Colombia"/>
    <x v="20"/>
  </r>
  <r>
    <s v="1214731635"/>
    <s v="16056"/>
    <s v="LOZANO MOSQUERA STEFANY"/>
    <d v="2026-03-01T05:00:16"/>
    <m/>
    <s v="active"/>
    <s v="Colombia"/>
    <x v="20"/>
  </r>
  <r>
    <s v="1143876112"/>
    <s v="25058"/>
    <s v="LOZANO RIVERA JUAN DAVID"/>
    <d v="2026-07-21T05:00:16"/>
    <m/>
    <s v="active"/>
    <s v="Colombia"/>
    <x v="3"/>
  </r>
  <r>
    <s v="1002129678"/>
    <s v="14797"/>
    <s v="LUNA MACÍAS MARCELA DAYANNA"/>
    <d v="2026-01-15T05:00:16"/>
    <m/>
    <s v="active"/>
    <s v="Colombia"/>
    <x v="10"/>
  </r>
  <r>
    <s v="1018479582"/>
    <s v="25046"/>
    <s v="MANCIPE CASTRO LAURA DANIELA"/>
    <d v="2026-08-03T05:00:16"/>
    <d v="2026-12-31T05:00:16"/>
    <s v="active"/>
    <s v="Colombia"/>
    <x v="33"/>
  </r>
  <r>
    <s v="1042460319"/>
    <s v="12375"/>
    <s v="MANRIQUE OLIVERA EDUARDO ELIAS"/>
    <d v="2025-09-15T05:00:16"/>
    <m/>
    <s v="active"/>
    <s v="Colombia"/>
    <x v="34"/>
  </r>
  <r>
    <s v="1214715152"/>
    <s v="31194"/>
    <s v="MARIN MIRA YESSICA TATIANA"/>
    <d v="2026-09-07T05:00:16"/>
    <d v="2027-02-28T05:00:16"/>
    <s v="onboarding"/>
    <s v="Colombia"/>
    <x v="3"/>
  </r>
  <r>
    <s v="1037325581"/>
    <s v="12399"/>
    <s v="MARULANDA HENAO MARIA CLARA"/>
    <d v="2025-09-15T05:00:16"/>
    <m/>
    <s v="active"/>
    <s v="Colombia"/>
    <x v="5"/>
  </r>
  <r>
    <s v="1144044650"/>
    <s v="4060"/>
    <s v="MENDEZ DAVILA ORLANDO"/>
    <d v="2024-03-05T05:00:16"/>
    <m/>
    <s v="active"/>
    <s v="Colombia"/>
    <x v="19"/>
  </r>
  <r>
    <s v="1019047962"/>
    <s v="9128"/>
    <s v="MÉNDEZ PERICO STEPHANY"/>
    <d v="2025-04-01T05:00:16"/>
    <m/>
    <s v="active"/>
    <s v="Colombia"/>
    <x v="21"/>
  </r>
  <r>
    <s v="1047235474"/>
    <s v="16245"/>
    <s v="MENDOZA TORRES DUVAN ANDRES"/>
    <d v="2026-03-05T05:00:16"/>
    <d v="2027-03-04T05:00:16"/>
    <s v="active"/>
    <s v="Colombia"/>
    <x v="7"/>
  </r>
  <r>
    <s v="1010028032"/>
    <s v="9874"/>
    <s v="MIRANDA VERGARA HUYNA"/>
    <d v="2025-04-28T05:00:16"/>
    <m/>
    <s v="active"/>
    <s v="Colombia"/>
    <x v="0"/>
  </r>
  <r>
    <s v="1152206606"/>
    <s v="25075"/>
    <s v="MONSALVE RUIZ MARIA ALEJANDRA"/>
    <d v="2026-07-14T05:00:16"/>
    <m/>
    <s v="active"/>
    <s v="Colombia"/>
    <x v="26"/>
  </r>
  <r>
    <s v="1019149714"/>
    <s v="24144"/>
    <s v="MONTAÑA PINZON PAULA CATALINA"/>
    <d v="2026-06-22T05:00:16"/>
    <m/>
    <s v="active"/>
    <s v="Colombia"/>
    <x v="2"/>
  </r>
  <r>
    <s v="1032480835"/>
    <s v="9083"/>
    <s v="MUÑOZ ÁLVAREZ ANDREA"/>
    <d v="2025-04-01T05:00:16"/>
    <m/>
    <s v="active"/>
    <s v="Colombia"/>
    <x v="21"/>
  </r>
  <r>
    <s v="44003699"/>
    <s v="10131"/>
    <s v="MURILLO ALZATE DIANA CRISTIAN"/>
    <d v="2025-05-19T05:00:16"/>
    <m/>
    <s v="active"/>
    <s v="Colombia"/>
    <x v="26"/>
  </r>
  <r>
    <s v="1063305387"/>
    <s v="13873"/>
    <s v="MURILLO PAREJA ANDRES DAVID"/>
    <d v="2025-11-25T05:00:16"/>
    <m/>
    <s v="active"/>
    <s v="Colombia"/>
    <x v="5"/>
  </r>
  <r>
    <s v="1193441943"/>
    <s v="5675"/>
    <s v="NAME PARADA SOFIA"/>
    <d v="2024-08-22T05:00:16"/>
    <m/>
    <s v="active"/>
    <s v="Colombia"/>
    <x v="7"/>
  </r>
  <r>
    <s v="1125349017"/>
    <s v="12189"/>
    <s v="NEIRA GOMEZ JUAN DAVID"/>
    <d v="2025-09-04T05:00:16"/>
    <m/>
    <s v="active"/>
    <s v="Colombia"/>
    <x v="0"/>
  </r>
  <r>
    <s v="1147687929"/>
    <s v="10187"/>
    <s v="NOMESQUE MEDINA CINDY LORENA"/>
    <d v="2025-05-23T05:00:16"/>
    <m/>
    <s v="active"/>
    <s v="Colombia"/>
    <x v="7"/>
  </r>
  <r>
    <s v="1010233206"/>
    <s v="17472"/>
    <s v="ORJUELA DELGADO DANIEL MAURICIO"/>
    <d v="2026-04-20T05:00:16"/>
    <m/>
    <s v="active"/>
    <s v="Colombia"/>
    <x v="3"/>
  </r>
  <r>
    <s v="1020802151"/>
    <s v="24357"/>
    <s v="ORTEGA ZULUAGA ALBERTO"/>
    <d v="2026-07-01T05:00:16"/>
    <m/>
    <s v="active"/>
    <s v="Colombia"/>
    <x v="3"/>
  </r>
  <r>
    <s v="1020777537"/>
    <s v="27499"/>
    <s v="ORTIZ CALVO JUAN FELIPE"/>
    <d v="2026-08-03T05:00:16"/>
    <m/>
    <s v="active"/>
    <s v="Colombia"/>
    <x v="19"/>
  </r>
  <r>
    <s v="1144048363"/>
    <s v="26819"/>
    <s v="ORTIZ CORTES MARIA CLARA"/>
    <d v="2026-08-20T05:00:16"/>
    <m/>
    <s v="active"/>
    <s v="Colombia"/>
    <x v="12"/>
  </r>
  <r>
    <s v="1107091651"/>
    <s v="25077"/>
    <s v="OSORIO AGREDO JUAN FERNANDO"/>
    <d v="2026-07-27T05:00:16"/>
    <m/>
    <s v="active"/>
    <s v="Colombia"/>
    <x v="3"/>
  </r>
  <r>
    <s v="1026291501"/>
    <s v="5590"/>
    <s v="PABON ARANGUREN MARIA ALEJANDRA"/>
    <d v="2024-08-16T05:00:16"/>
    <m/>
    <s v="active"/>
    <s v="Colombia"/>
    <x v="7"/>
  </r>
  <r>
    <s v="1000546778"/>
    <s v="14798"/>
    <s v="PALACIO VELÁSQUEZ MARÍA ANTONIA"/>
    <d v="2026-01-15T05:00:16"/>
    <m/>
    <s v="active"/>
    <s v="Colombia"/>
    <x v="10"/>
  </r>
  <r>
    <s v="1000883660"/>
    <s v="24769"/>
    <s v="PARRA NARANJO ANDRES FELIPE"/>
    <d v="2026-07-06T05:00:16"/>
    <d v="2026-12-31T05:00:16"/>
    <s v="active"/>
    <s v="Colombia"/>
    <x v="18"/>
  </r>
  <r>
    <s v="1098802067"/>
    <s v="31195"/>
    <s v="PEDRAZA BAUTISTA FABIOLA"/>
    <d v="2026-09-07T05:00:16"/>
    <d v="2027-02-28T05:00:16"/>
    <s v="onboarding"/>
    <s v="Colombia"/>
    <x v="3"/>
  </r>
  <r>
    <s v="1110592831"/>
    <s v="24959"/>
    <s v="PERALTA SIERRA FABIAN CAMILO"/>
    <d v="2026-07-21T05:00:16"/>
    <m/>
    <s v="active"/>
    <s v="Colombia"/>
    <x v="3"/>
  </r>
  <r>
    <s v="1003711622"/>
    <s v="17203"/>
    <s v="PERDIGON CAMARGO PAULA DEL PILAR"/>
    <d v="2026-04-07T05:00:16"/>
    <m/>
    <s v="active"/>
    <s v="Colombia"/>
    <x v="21"/>
  </r>
  <r>
    <s v="1003716784"/>
    <s v="24407"/>
    <s v="PEREZ DEMOYA YANI VALENTINA"/>
    <d v="2026-07-06T05:00:16"/>
    <m/>
    <s v="active"/>
    <s v="Colombia"/>
    <x v="3"/>
  </r>
  <r>
    <s v="1017216130"/>
    <s v="13825"/>
    <s v="PORRAS LARREA JOHN EDWIN"/>
    <d v="2025-12-01T05:00:16"/>
    <m/>
    <s v="active"/>
    <s v="Colombia"/>
    <x v="5"/>
  </r>
  <r>
    <s v="1010211641"/>
    <s v="768"/>
    <s v="POVEDA RUIZ CHRISTIAN NICANOR"/>
    <d v="2022-08-01T05:00:16"/>
    <m/>
    <s v="active"/>
    <s v="Colombia"/>
    <x v="35"/>
  </r>
  <r>
    <s v="1022394727"/>
    <s v="11240"/>
    <s v="QUIÑONES GONZALEZ ANDRES FELIPE"/>
    <d v="2025-08-20T05:00:16"/>
    <m/>
    <s v="active"/>
    <s v="Colombia"/>
    <x v="36"/>
  </r>
  <r>
    <s v="1002210564"/>
    <s v="16991"/>
    <s v="QUIÑONES PARDO JUAN SEBASTIÁN"/>
    <d v="2026-04-07T05:00:16"/>
    <m/>
    <s v="active"/>
    <s v="Colombia"/>
    <x v="9"/>
  </r>
  <r>
    <s v="51916868"/>
    <s v="14295"/>
    <s v="QUINTERO ALVAREZ JENNYFER BERNARDA"/>
    <d v="2025-12-09T05:00:16"/>
    <m/>
    <s v="active"/>
    <s v="Colombia"/>
    <x v="9"/>
  </r>
  <r>
    <s v="1093292272"/>
    <s v="30547"/>
    <s v="QUINTERO MOGOLLON DIEGO ALEJANDRO"/>
    <d v="2026-08-25T05:00:16"/>
    <m/>
    <s v="active"/>
    <s v="Colombia"/>
    <x v="2"/>
  </r>
  <r>
    <s v="1107088692"/>
    <s v="9223"/>
    <s v="RAMIREZ ARANDA JUAN SEBASTIAN"/>
    <d v="2025-04-01T05:00:16"/>
    <m/>
    <s v="active"/>
    <s v="Colombia"/>
    <x v="37"/>
  </r>
  <r>
    <s v="1152454797"/>
    <s v="24411"/>
    <s v="RESTREPO EUSSE DAVIDSON"/>
    <d v="2026-07-14T05:00:16"/>
    <m/>
    <s v="active"/>
    <s v="Colombia"/>
    <x v="3"/>
  </r>
  <r>
    <s v="1006011135"/>
    <s v="14296"/>
    <s v="REYES BEDOYA JUAN DAVID"/>
    <d v="2025-12-09T05:00:16"/>
    <m/>
    <s v="active"/>
    <s v="Colombia"/>
    <x v="9"/>
  </r>
  <r>
    <s v="1063305755"/>
    <s v="14487"/>
    <s v="RICARDO MADRID JOSE DAVID"/>
    <d v="2025-12-22T05:00:16"/>
    <m/>
    <s v="active"/>
    <s v="Colombia"/>
    <x v="5"/>
  </r>
  <r>
    <s v="1006774330"/>
    <s v="13680"/>
    <s v="RINCON DIAZ MARIA FERNANDA"/>
    <d v="2025-12-01T05:00:16"/>
    <m/>
    <s v="active"/>
    <s v="Colombia"/>
    <x v="28"/>
  </r>
  <r>
    <s v="1020491613"/>
    <s v="15519"/>
    <s v="RIVERA VÁSQUEZ ORIÓN ZAFIRO"/>
    <d v="2026-02-04T05:00:16"/>
    <m/>
    <s v="active"/>
    <s v="Colombia"/>
    <x v="5"/>
  </r>
  <r>
    <s v="1002580360"/>
    <s v="16529"/>
    <s v="RODRIGUEZ GALLEGO SANTIAGO"/>
    <d v="2026-03-11T05:00:16"/>
    <m/>
    <s v="active"/>
    <s v="Colombia"/>
    <x v="5"/>
  </r>
  <r>
    <s v="1095914846"/>
    <s v="24742"/>
    <s v="RODRIGUEZ JAIMES LEIDY TATIANA"/>
    <d v="2026-07-16T05:00:16"/>
    <m/>
    <s v="active"/>
    <s v="Colombia"/>
    <x v="6"/>
  </r>
  <r>
    <s v="72300476"/>
    <s v="16161"/>
    <s v="RODRIGUEZ TORRENEGRA AGUSTIN ALFONSO"/>
    <d v="2026-03-11T05:00:16"/>
    <m/>
    <s v="active"/>
    <s v="Colombia"/>
    <x v="38"/>
  </r>
  <r>
    <s v="1022399583"/>
    <s v="24528"/>
    <s v="ROJAS ACEVEDO JORDAN ALEXANDER"/>
    <d v="2026-07-14T05:00:16"/>
    <m/>
    <s v="active"/>
    <s v="Colombia"/>
    <x v="3"/>
  </r>
  <r>
    <s v="1146443670"/>
    <s v="11332"/>
    <s v="ROJAS CARDONA VALHERIA"/>
    <d v="2025-08-12T05:00:16"/>
    <m/>
    <s v="active"/>
    <s v="Colombia"/>
    <x v="10"/>
  </r>
  <r>
    <s v="1020826293"/>
    <s v="24143"/>
    <s v="ROJAS MEDINA ISABELLA"/>
    <d v="2026-06-22T05:00:16"/>
    <m/>
    <s v="active"/>
    <s v="Colombia"/>
    <x v="2"/>
  </r>
  <r>
    <s v="1018493348"/>
    <s v="5657"/>
    <s v="ROJAS NAVARRETE EMMA SORAYA"/>
    <d v="2024-08-16T05:00:16"/>
    <m/>
    <s v="active"/>
    <s v="Colombia"/>
    <x v="7"/>
  </r>
  <r>
    <s v="1125800901"/>
    <s v="25076"/>
    <s v="ROJO FRANCO DAVID ALEXANDER"/>
    <d v="2026-07-21T05:00:16"/>
    <m/>
    <s v="active"/>
    <s v="Colombia"/>
    <x v="3"/>
  </r>
  <r>
    <s v="1035435851"/>
    <s v="10867"/>
    <s v="RUIZ SIERRA LEYDI VANNESA"/>
    <d v="2025-07-02T05:00:16"/>
    <m/>
    <s v="active"/>
    <s v="Colombia"/>
    <x v="39"/>
  </r>
  <r>
    <s v="1093318370"/>
    <s v="24743"/>
    <s v="SALAS PERNIA NELSON ANDREY"/>
    <d v="2026-07-17T05:00:16"/>
    <m/>
    <s v="active"/>
    <s v="Colombia"/>
    <x v="6"/>
  </r>
  <r>
    <s v="1000192235"/>
    <s v="17469"/>
    <s v="SALAZAR RAMIREZ SANTIAGO"/>
    <d v="2026-04-20T05:00:16"/>
    <d v="2026-09-04T05:00:16"/>
    <s v="offboarding"/>
    <s v="Colombia"/>
    <x v="3"/>
  </r>
  <r>
    <s v="1000046368"/>
    <s v="8643"/>
    <s v="SALDAÑA MARTINEZ LILIANA MARIA"/>
    <d v="2025-03-05T05:00:16"/>
    <m/>
    <s v="active"/>
    <s v="Colombia"/>
    <x v="7"/>
  </r>
  <r>
    <s v="1118312097"/>
    <s v="17811"/>
    <s v="SANCHEZ CORTES OMAR ALEXIS"/>
    <d v="2026-05-11T05:00:16"/>
    <m/>
    <s v="active"/>
    <s v="Colombia"/>
    <x v="3"/>
  </r>
  <r>
    <s v="94507549"/>
    <s v="26775"/>
    <s v="SANTOS YANTEN CARLOS ANDRES"/>
    <d v="2026-08-10T05:00:16"/>
    <m/>
    <s v="active"/>
    <s v="Colombia"/>
    <x v="3"/>
  </r>
  <r>
    <s v="1003801738"/>
    <s v="8270"/>
    <s v="SILVA GARCIA NICOLAS"/>
    <d v="2025-01-24T05:00:16"/>
    <m/>
    <s v="active"/>
    <s v="Colombia"/>
    <x v="5"/>
  </r>
  <r>
    <s v="1220474416"/>
    <s v="2361"/>
    <s v="SILVA MACAREÑO CESAR ENRIQUE"/>
    <d v="2023-08-01T05:00:16"/>
    <m/>
    <s v="active"/>
    <s v="Colombia"/>
    <x v="40"/>
  </r>
  <r>
    <s v="43877526"/>
    <s v="9933"/>
    <s v="TELLEZ DIEZ CAROLINA"/>
    <d v="2025-05-15T05:00:16"/>
    <m/>
    <s v="active"/>
    <s v="Colombia"/>
    <x v="41"/>
  </r>
  <r>
    <s v="1085940293"/>
    <s v="23908"/>
    <s v="TERAN BENAVIDES MARIO ESTEBAN"/>
    <d v="2026-06-16T05:00:16"/>
    <m/>
    <s v="active"/>
    <s v="Colombia"/>
    <x v="5"/>
  </r>
  <r>
    <s v="1013622333"/>
    <s v="9125"/>
    <s v="TORRES ARDILA LEYDY KATHERIN"/>
    <d v="2025-04-01T05:00:16"/>
    <m/>
    <s v="active"/>
    <s v="Colombia"/>
    <x v="21"/>
  </r>
  <r>
    <s v="1144089336"/>
    <s v="17345"/>
    <s v="TORRES OSUNA OMAR RICARDO"/>
    <d v="2026-04-16T05:00:16"/>
    <m/>
    <s v="active"/>
    <s v="Colombia"/>
    <x v="15"/>
  </r>
  <r>
    <s v="1020496788"/>
    <s v="16022"/>
    <s v="TORRES RODRIGUEZ EVELYN XIMENA"/>
    <d v="2026-03-01T05:00:16"/>
    <m/>
    <s v="active"/>
    <s v="Colombia"/>
    <x v="20"/>
  </r>
  <r>
    <s v="1075316183"/>
    <s v="11331"/>
    <s v="TRUJILLO OCHOA CLAUDIA XIMENA"/>
    <d v="2025-08-12T05:00:16"/>
    <m/>
    <s v="active"/>
    <s v="Colombia"/>
    <x v="10"/>
  </r>
  <r>
    <s v="1000851517"/>
    <s v="24703"/>
    <s v="UMAÑA VALENCIA LUCAS"/>
    <d v="2026-07-14T05:00:16"/>
    <m/>
    <s v="active"/>
    <s v="Colombia"/>
    <x v="3"/>
  </r>
  <r>
    <s v="31324047"/>
    <s v="29719"/>
    <s v="VALDES BARBOSA ALEJANDRA"/>
    <d v="2026-08-10T05:00:16"/>
    <m/>
    <s v="active"/>
    <s v="Colombia"/>
    <x v="3"/>
  </r>
  <r>
    <s v="1151945739"/>
    <s v="10042"/>
    <s v="VALENCIA GUTIERREZ CHRISTIAN"/>
    <d v="2025-06-01T05:00:16"/>
    <m/>
    <s v="active"/>
    <s v="Colombia"/>
    <x v="42"/>
  </r>
  <r>
    <s v="1143232392"/>
    <s v="17812"/>
    <s v="VANEGAS UPARELA MAURA ALEJANDRA"/>
    <d v="2026-05-11T05:00:16"/>
    <m/>
    <s v="active"/>
    <s v="Colombia"/>
    <x v="3"/>
  </r>
  <r>
    <s v="1127533699"/>
    <s v="12656"/>
    <s v="VARELA VELASQUEZ GUILLERMO DE JESUS"/>
    <d v="2025-09-29T05:00:16"/>
    <m/>
    <s v="active"/>
    <s v="Colombia"/>
    <x v="26"/>
  </r>
  <r>
    <s v="1019073462"/>
    <s v="29721"/>
    <s v="VARGAS SOTO JUAN PABLO"/>
    <d v="2026-08-18T05:00:16"/>
    <m/>
    <s v="active"/>
    <s v="Colombia"/>
    <x v="3"/>
  </r>
  <r>
    <s v="1152459961"/>
    <s v="6319"/>
    <s v="VELEZ HERNANDEZ CAROLINA"/>
    <d v="2024-10-01T05:00:16"/>
    <m/>
    <s v="active"/>
    <s v="Colombia"/>
    <x v="5"/>
  </r>
  <r>
    <s v="1090491454"/>
    <s v="24470"/>
    <s v="VERA CASTAÑEDA YHOINER JOSE"/>
    <d v="2026-07-16T05:00:16"/>
    <m/>
    <s v="active"/>
    <s v="Colombia"/>
    <x v="6"/>
  </r>
  <r>
    <s v="1127237328"/>
    <s v="24702"/>
    <s v="VERNEY BUITRAGO CARLOS ALBERTO JR"/>
    <d v="2026-07-14T05:00:16"/>
    <m/>
    <s v="active"/>
    <s v="Colombia"/>
    <x v="3"/>
  </r>
  <r>
    <s v="1018230359"/>
    <s v="31397"/>
    <s v="VILLADA VANEGAS PAULINA"/>
    <d v="2026-08-24T05:00:16"/>
    <m/>
    <s v="active"/>
    <s v="Colombia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29C7CB-F009-42E5-BAD5-0CB1468FF8B6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7" firstHeaderRow="1" firstDataRow="1" firstDataCol="1"/>
  <pivotFields count="8">
    <pivotField showAll="0"/>
    <pivotField showAll="0"/>
    <pivotField showAll="0"/>
    <pivotField numFmtId="14" showAll="0"/>
    <pivotField showAll="0"/>
    <pivotField showAll="0"/>
    <pivotField showAll="0"/>
    <pivotField axis="axisRow" dataField="1" showAll="0" sortType="ascending">
      <items count="44">
        <item x="16"/>
        <item x="14"/>
        <item x="39"/>
        <item x="29"/>
        <item x="37"/>
        <item x="9"/>
        <item x="42"/>
        <item x="40"/>
        <item x="11"/>
        <item x="25"/>
        <item x="5"/>
        <item x="20"/>
        <item x="22"/>
        <item x="15"/>
        <item x="30"/>
        <item x="31"/>
        <item x="35"/>
        <item x="33"/>
        <item x="10"/>
        <item x="0"/>
        <item x="23"/>
        <item x="7"/>
        <item x="34"/>
        <item x="36"/>
        <item x="6"/>
        <item x="24"/>
        <item x="38"/>
        <item x="12"/>
        <item x="27"/>
        <item x="18"/>
        <item x="3"/>
        <item x="2"/>
        <item x="26"/>
        <item x="13"/>
        <item x="4"/>
        <item x="1"/>
        <item x="28"/>
        <item x="8"/>
        <item x="21"/>
        <item x="32"/>
        <item x="19"/>
        <item x="41"/>
        <item x="17"/>
        <item t="default"/>
      </items>
    </pivotField>
  </pivotFields>
  <rowFields count="1">
    <field x="7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Cuenta de Customer Nam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4ECF0-E32B-4E18-A70B-ACC7FD2A31F8}">
  <dimension ref="A3:G47"/>
  <sheetViews>
    <sheetView topLeftCell="A32" workbookViewId="0">
      <selection activeCell="F42" sqref="F4:F42"/>
    </sheetView>
  </sheetViews>
  <sheetFormatPr baseColWidth="10" defaultColWidth="11.44140625" defaultRowHeight="14.4" x14ac:dyDescent="0.3"/>
  <cols>
    <col min="1" max="1" width="35.44140625" bestFit="1" customWidth="1"/>
    <col min="2" max="2" width="23.33203125" bestFit="1" customWidth="1"/>
    <col min="4" max="4" width="35.44140625" bestFit="1" customWidth="1"/>
    <col min="5" max="5" width="9" customWidth="1"/>
  </cols>
  <sheetData>
    <row r="3" spans="1:7" x14ac:dyDescent="0.3">
      <c r="A3" s="21" t="s">
        <v>0</v>
      </c>
      <c r="B3" t="s">
        <v>1</v>
      </c>
    </row>
    <row r="4" spans="1:7" x14ac:dyDescent="0.3">
      <c r="A4" s="22" t="s">
        <v>2</v>
      </c>
      <c r="B4">
        <v>1</v>
      </c>
      <c r="D4" t="s">
        <v>2</v>
      </c>
      <c r="E4" s="23">
        <v>1</v>
      </c>
      <c r="F4" t="s">
        <v>3</v>
      </c>
      <c r="G4" t="s">
        <v>4</v>
      </c>
    </row>
    <row r="5" spans="1:7" x14ac:dyDescent="0.3">
      <c r="A5" s="22" t="s">
        <v>5</v>
      </c>
      <c r="B5">
        <v>1</v>
      </c>
      <c r="D5" t="s">
        <v>5</v>
      </c>
      <c r="E5" s="23">
        <v>1</v>
      </c>
      <c r="F5" t="s">
        <v>3</v>
      </c>
      <c r="G5" t="s">
        <v>4</v>
      </c>
    </row>
    <row r="6" spans="1:7" x14ac:dyDescent="0.3">
      <c r="A6" s="22" t="s">
        <v>6</v>
      </c>
      <c r="B6">
        <v>1</v>
      </c>
      <c r="D6" t="s">
        <v>6</v>
      </c>
      <c r="E6" s="23">
        <v>1</v>
      </c>
      <c r="F6" t="s">
        <v>3</v>
      </c>
      <c r="G6" t="s">
        <v>4</v>
      </c>
    </row>
    <row r="7" spans="1:7" x14ac:dyDescent="0.3">
      <c r="A7" s="22" t="s">
        <v>7</v>
      </c>
      <c r="B7">
        <v>1</v>
      </c>
      <c r="D7" t="s">
        <v>7</v>
      </c>
      <c r="E7" s="23">
        <v>1</v>
      </c>
      <c r="F7" t="s">
        <v>3</v>
      </c>
      <c r="G7" t="s">
        <v>4</v>
      </c>
    </row>
    <row r="8" spans="1:7" x14ac:dyDescent="0.3">
      <c r="A8" s="22" t="s">
        <v>8</v>
      </c>
      <c r="B8">
        <v>1</v>
      </c>
      <c r="D8" t="s">
        <v>8</v>
      </c>
      <c r="E8" s="23">
        <v>1</v>
      </c>
      <c r="F8" t="s">
        <v>3</v>
      </c>
      <c r="G8" t="s">
        <v>4</v>
      </c>
    </row>
    <row r="9" spans="1:7" x14ac:dyDescent="0.3">
      <c r="A9" s="22" t="s">
        <v>9</v>
      </c>
      <c r="B9">
        <v>4</v>
      </c>
      <c r="D9" t="s">
        <v>10</v>
      </c>
      <c r="E9" s="23">
        <v>1</v>
      </c>
      <c r="F9" t="s">
        <v>3</v>
      </c>
      <c r="G9" t="s">
        <v>4</v>
      </c>
    </row>
    <row r="10" spans="1:7" x14ac:dyDescent="0.3">
      <c r="A10" s="22" t="s">
        <v>10</v>
      </c>
      <c r="B10">
        <v>1</v>
      </c>
      <c r="D10" t="s">
        <v>11</v>
      </c>
      <c r="E10" s="23">
        <v>1</v>
      </c>
      <c r="F10" t="s">
        <v>3</v>
      </c>
      <c r="G10" t="s">
        <v>4</v>
      </c>
    </row>
    <row r="11" spans="1:7" x14ac:dyDescent="0.3">
      <c r="A11" s="22" t="s">
        <v>11</v>
      </c>
      <c r="B11">
        <v>1</v>
      </c>
      <c r="D11" t="s">
        <v>12</v>
      </c>
      <c r="E11" s="23">
        <v>1</v>
      </c>
      <c r="F11" t="s">
        <v>3</v>
      </c>
      <c r="G11" t="s">
        <v>4</v>
      </c>
    </row>
    <row r="12" spans="1:7" x14ac:dyDescent="0.3">
      <c r="A12" s="22" t="s">
        <v>12</v>
      </c>
      <c r="B12">
        <v>1</v>
      </c>
      <c r="D12" t="s">
        <v>13</v>
      </c>
      <c r="E12" s="23">
        <v>1</v>
      </c>
      <c r="F12" t="s">
        <v>3</v>
      </c>
      <c r="G12" t="s">
        <v>4</v>
      </c>
    </row>
    <row r="13" spans="1:7" x14ac:dyDescent="0.3">
      <c r="A13" s="22" t="s">
        <v>13</v>
      </c>
      <c r="B13">
        <v>1</v>
      </c>
      <c r="D13" t="s">
        <v>14</v>
      </c>
      <c r="E13" s="23">
        <v>1</v>
      </c>
      <c r="F13" t="s">
        <v>3</v>
      </c>
      <c r="G13" t="s">
        <v>4</v>
      </c>
    </row>
    <row r="14" spans="1:7" x14ac:dyDescent="0.3">
      <c r="A14" s="22" t="s">
        <v>15</v>
      </c>
      <c r="B14">
        <v>26</v>
      </c>
      <c r="D14" t="s">
        <v>16</v>
      </c>
      <c r="E14" s="23">
        <v>1</v>
      </c>
      <c r="F14" t="s">
        <v>3</v>
      </c>
      <c r="G14" t="s">
        <v>4</v>
      </c>
    </row>
    <row r="15" spans="1:7" x14ac:dyDescent="0.3">
      <c r="A15" s="22" t="s">
        <v>17</v>
      </c>
      <c r="B15">
        <v>10</v>
      </c>
      <c r="D15" t="s">
        <v>18</v>
      </c>
      <c r="E15" s="23">
        <v>1</v>
      </c>
      <c r="F15" t="s">
        <v>3</v>
      </c>
      <c r="G15" t="s">
        <v>4</v>
      </c>
    </row>
    <row r="16" spans="1:7" x14ac:dyDescent="0.3">
      <c r="A16" s="22" t="s">
        <v>14</v>
      </c>
      <c r="B16">
        <v>1</v>
      </c>
      <c r="D16" t="s">
        <v>19</v>
      </c>
      <c r="E16" s="23">
        <v>1</v>
      </c>
      <c r="F16" t="s">
        <v>3</v>
      </c>
      <c r="G16" t="s">
        <v>4</v>
      </c>
    </row>
    <row r="17" spans="1:7" x14ac:dyDescent="0.3">
      <c r="A17" s="22" t="s">
        <v>20</v>
      </c>
      <c r="B17">
        <v>2</v>
      </c>
      <c r="D17" t="s">
        <v>21</v>
      </c>
      <c r="E17" s="23">
        <v>1</v>
      </c>
      <c r="F17" t="s">
        <v>22</v>
      </c>
      <c r="G17" t="s">
        <v>4</v>
      </c>
    </row>
    <row r="18" spans="1:7" x14ac:dyDescent="0.3">
      <c r="A18" s="22" t="s">
        <v>16</v>
      </c>
      <c r="B18">
        <v>1</v>
      </c>
      <c r="D18" t="s">
        <v>23</v>
      </c>
      <c r="E18" s="23">
        <v>1</v>
      </c>
      <c r="F18" t="s">
        <v>3</v>
      </c>
      <c r="G18" t="s">
        <v>4</v>
      </c>
    </row>
    <row r="19" spans="1:7" x14ac:dyDescent="0.3">
      <c r="A19" s="22" t="s">
        <v>18</v>
      </c>
      <c r="B19">
        <v>1</v>
      </c>
      <c r="D19" t="s">
        <v>24</v>
      </c>
      <c r="E19" s="23">
        <v>1</v>
      </c>
      <c r="F19" t="s">
        <v>3</v>
      </c>
      <c r="G19" t="s">
        <v>4</v>
      </c>
    </row>
    <row r="20" spans="1:7" x14ac:dyDescent="0.3">
      <c r="A20" s="22" t="s">
        <v>19</v>
      </c>
      <c r="B20">
        <v>1</v>
      </c>
      <c r="D20" t="s">
        <v>25</v>
      </c>
      <c r="E20" s="23">
        <v>1</v>
      </c>
      <c r="F20" t="s">
        <v>3</v>
      </c>
      <c r="G20" t="s">
        <v>4</v>
      </c>
    </row>
    <row r="21" spans="1:7" x14ac:dyDescent="0.3">
      <c r="A21" s="22" t="s">
        <v>21</v>
      </c>
      <c r="B21">
        <v>1</v>
      </c>
      <c r="D21" t="s">
        <v>26</v>
      </c>
      <c r="E21" s="23">
        <v>1</v>
      </c>
      <c r="F21" t="s">
        <v>3</v>
      </c>
      <c r="G21" t="s">
        <v>4</v>
      </c>
    </row>
    <row r="22" spans="1:7" x14ac:dyDescent="0.3">
      <c r="A22" s="22" t="s">
        <v>27</v>
      </c>
      <c r="B22">
        <v>6</v>
      </c>
      <c r="D22" t="s">
        <v>28</v>
      </c>
      <c r="E22" s="23">
        <v>1</v>
      </c>
      <c r="F22" t="s">
        <v>3</v>
      </c>
      <c r="G22" t="s">
        <v>4</v>
      </c>
    </row>
    <row r="23" spans="1:7" x14ac:dyDescent="0.3">
      <c r="A23" s="22" t="s">
        <v>29</v>
      </c>
      <c r="B23">
        <v>4</v>
      </c>
      <c r="D23" t="s">
        <v>30</v>
      </c>
      <c r="E23" s="23">
        <v>1</v>
      </c>
      <c r="F23" t="s">
        <v>3</v>
      </c>
      <c r="G23" t="s">
        <v>4</v>
      </c>
    </row>
    <row r="24" spans="1:7" x14ac:dyDescent="0.3">
      <c r="A24" s="22" t="s">
        <v>23</v>
      </c>
      <c r="B24">
        <v>1</v>
      </c>
      <c r="D24" t="s">
        <v>31</v>
      </c>
      <c r="E24" s="23">
        <v>1</v>
      </c>
      <c r="F24" t="s">
        <v>3</v>
      </c>
      <c r="G24" t="s">
        <v>4</v>
      </c>
    </row>
    <row r="25" spans="1:7" x14ac:dyDescent="0.3">
      <c r="A25" s="22" t="s">
        <v>32</v>
      </c>
      <c r="B25">
        <v>13</v>
      </c>
      <c r="D25" t="s">
        <v>33</v>
      </c>
      <c r="E25" s="23">
        <v>1</v>
      </c>
      <c r="F25" t="s">
        <v>3</v>
      </c>
      <c r="G25" t="s">
        <v>4</v>
      </c>
    </row>
    <row r="26" spans="1:7" x14ac:dyDescent="0.3">
      <c r="A26" s="22" t="s">
        <v>24</v>
      </c>
      <c r="B26">
        <v>1</v>
      </c>
      <c r="D26" t="s">
        <v>34</v>
      </c>
      <c r="E26" s="23">
        <v>1</v>
      </c>
      <c r="F26" t="s">
        <v>3</v>
      </c>
      <c r="G26" t="s">
        <v>4</v>
      </c>
    </row>
    <row r="27" spans="1:7" x14ac:dyDescent="0.3">
      <c r="A27" s="22" t="s">
        <v>25</v>
      </c>
      <c r="B27">
        <v>1</v>
      </c>
      <c r="D27" t="s">
        <v>35</v>
      </c>
      <c r="E27" s="23">
        <v>1</v>
      </c>
      <c r="F27" t="s">
        <v>3</v>
      </c>
      <c r="G27" t="s">
        <v>4</v>
      </c>
    </row>
    <row r="28" spans="1:7" x14ac:dyDescent="0.3">
      <c r="A28" s="22" t="s">
        <v>36</v>
      </c>
      <c r="B28">
        <v>5</v>
      </c>
      <c r="D28" t="s">
        <v>37</v>
      </c>
      <c r="E28" s="23">
        <v>1</v>
      </c>
      <c r="F28" t="s">
        <v>3</v>
      </c>
      <c r="G28" t="s">
        <v>4</v>
      </c>
    </row>
    <row r="29" spans="1:7" x14ac:dyDescent="0.3">
      <c r="A29" s="22" t="s">
        <v>26</v>
      </c>
      <c r="B29">
        <v>1</v>
      </c>
      <c r="D29" t="s">
        <v>38</v>
      </c>
      <c r="E29" s="23">
        <v>1</v>
      </c>
      <c r="F29" t="s">
        <v>3</v>
      </c>
      <c r="G29" t="s">
        <v>4</v>
      </c>
    </row>
    <row r="30" spans="1:7" x14ac:dyDescent="0.3">
      <c r="A30" s="22" t="s">
        <v>28</v>
      </c>
      <c r="B30">
        <v>1</v>
      </c>
      <c r="D30" t="s">
        <v>20</v>
      </c>
      <c r="E30" s="23">
        <v>2</v>
      </c>
      <c r="F30" t="s">
        <v>3</v>
      </c>
      <c r="G30" t="s">
        <v>4</v>
      </c>
    </row>
    <row r="31" spans="1:7" x14ac:dyDescent="0.3">
      <c r="A31" s="22" t="s">
        <v>39</v>
      </c>
      <c r="B31">
        <v>2</v>
      </c>
      <c r="D31" t="s">
        <v>39</v>
      </c>
      <c r="E31" s="23">
        <v>2</v>
      </c>
      <c r="F31" t="s">
        <v>3</v>
      </c>
      <c r="G31" t="s">
        <v>4</v>
      </c>
    </row>
    <row r="32" spans="1:7" x14ac:dyDescent="0.3">
      <c r="A32" s="22" t="s">
        <v>30</v>
      </c>
      <c r="B32">
        <v>1</v>
      </c>
      <c r="D32" t="s">
        <v>40</v>
      </c>
      <c r="E32" s="23">
        <v>2</v>
      </c>
      <c r="F32" t="s">
        <v>3</v>
      </c>
      <c r="G32" t="s">
        <v>4</v>
      </c>
    </row>
    <row r="33" spans="1:7" x14ac:dyDescent="0.3">
      <c r="A33" s="22" t="s">
        <v>41</v>
      </c>
      <c r="B33">
        <v>3</v>
      </c>
      <c r="D33" t="s">
        <v>42</v>
      </c>
      <c r="E33" s="23">
        <v>2</v>
      </c>
      <c r="F33" t="s">
        <v>3</v>
      </c>
      <c r="G33" t="s">
        <v>4</v>
      </c>
    </row>
    <row r="34" spans="1:7" x14ac:dyDescent="0.3">
      <c r="A34" s="22" t="s">
        <v>43</v>
      </c>
      <c r="B34">
        <v>37</v>
      </c>
      <c r="D34" t="s">
        <v>41</v>
      </c>
      <c r="E34" s="23">
        <v>3</v>
      </c>
      <c r="F34" t="s">
        <v>3</v>
      </c>
      <c r="G34" t="s">
        <v>4</v>
      </c>
    </row>
    <row r="35" spans="1:7" x14ac:dyDescent="0.3">
      <c r="A35" s="22" t="s">
        <v>44</v>
      </c>
      <c r="B35">
        <v>4</v>
      </c>
      <c r="D35" t="s">
        <v>45</v>
      </c>
      <c r="E35" s="23">
        <v>3</v>
      </c>
      <c r="F35" t="s">
        <v>3</v>
      </c>
      <c r="G35" t="s">
        <v>4</v>
      </c>
    </row>
    <row r="36" spans="1:7" x14ac:dyDescent="0.3">
      <c r="A36" s="22" t="s">
        <v>46</v>
      </c>
      <c r="B36">
        <v>6</v>
      </c>
      <c r="D36" t="s">
        <v>9</v>
      </c>
      <c r="E36" s="23">
        <v>4</v>
      </c>
      <c r="F36" t="s">
        <v>3</v>
      </c>
      <c r="G36" t="s">
        <v>4</v>
      </c>
    </row>
    <row r="37" spans="1:7" x14ac:dyDescent="0.3">
      <c r="A37" s="22" t="s">
        <v>31</v>
      </c>
      <c r="B37">
        <v>1</v>
      </c>
      <c r="D37" t="s">
        <v>29</v>
      </c>
      <c r="E37" s="23">
        <v>4</v>
      </c>
      <c r="F37" t="s">
        <v>3</v>
      </c>
      <c r="G37" t="s">
        <v>4</v>
      </c>
    </row>
    <row r="38" spans="1:7" x14ac:dyDescent="0.3">
      <c r="A38" s="22" t="s">
        <v>40</v>
      </c>
      <c r="B38">
        <v>2</v>
      </c>
      <c r="D38" t="s">
        <v>44</v>
      </c>
      <c r="E38" s="23">
        <v>4</v>
      </c>
      <c r="F38" t="s">
        <v>3</v>
      </c>
      <c r="G38" t="s">
        <v>4</v>
      </c>
    </row>
    <row r="39" spans="1:7" x14ac:dyDescent="0.3">
      <c r="A39" s="22" t="s">
        <v>33</v>
      </c>
      <c r="B39">
        <v>1</v>
      </c>
      <c r="D39" t="s">
        <v>36</v>
      </c>
      <c r="E39" s="23">
        <v>5</v>
      </c>
      <c r="F39" t="s">
        <v>3</v>
      </c>
      <c r="G39" t="s">
        <v>4</v>
      </c>
    </row>
    <row r="40" spans="1:7" x14ac:dyDescent="0.3">
      <c r="A40" s="22" t="s">
        <v>42</v>
      </c>
      <c r="B40">
        <v>2</v>
      </c>
      <c r="D40" t="s">
        <v>27</v>
      </c>
      <c r="E40" s="23">
        <v>6</v>
      </c>
      <c r="F40" t="s">
        <v>3</v>
      </c>
      <c r="G40" t="s">
        <v>4</v>
      </c>
    </row>
    <row r="41" spans="1:7" x14ac:dyDescent="0.3">
      <c r="A41" s="22" t="s">
        <v>34</v>
      </c>
      <c r="B41">
        <v>1</v>
      </c>
      <c r="D41" t="s">
        <v>46</v>
      </c>
      <c r="E41" s="23">
        <v>6</v>
      </c>
      <c r="F41" t="s">
        <v>3</v>
      </c>
      <c r="G41" t="s">
        <v>4</v>
      </c>
    </row>
    <row r="42" spans="1:7" x14ac:dyDescent="0.3">
      <c r="A42" s="22" t="s">
        <v>47</v>
      </c>
      <c r="B42">
        <v>10</v>
      </c>
      <c r="D42" t="s">
        <v>17</v>
      </c>
      <c r="E42" s="23">
        <v>10</v>
      </c>
      <c r="F42" t="s">
        <v>3</v>
      </c>
      <c r="G42" t="s">
        <v>4</v>
      </c>
    </row>
    <row r="43" spans="1:7" x14ac:dyDescent="0.3">
      <c r="A43" s="22" t="s">
        <v>35</v>
      </c>
      <c r="B43">
        <v>1</v>
      </c>
      <c r="D43" t="s">
        <v>47</v>
      </c>
      <c r="E43" s="24">
        <v>10</v>
      </c>
      <c r="F43" t="s">
        <v>3</v>
      </c>
      <c r="G43" t="s">
        <v>48</v>
      </c>
    </row>
    <row r="44" spans="1:7" x14ac:dyDescent="0.3">
      <c r="A44" s="22" t="s">
        <v>45</v>
      </c>
      <c r="B44">
        <v>3</v>
      </c>
      <c r="D44" t="s">
        <v>32</v>
      </c>
      <c r="E44" s="24">
        <v>13</v>
      </c>
      <c r="F44" t="s">
        <v>3</v>
      </c>
      <c r="G44" t="s">
        <v>48</v>
      </c>
    </row>
    <row r="45" spans="1:7" x14ac:dyDescent="0.3">
      <c r="A45" s="22" t="s">
        <v>37</v>
      </c>
      <c r="B45">
        <v>1</v>
      </c>
      <c r="D45" t="s">
        <v>15</v>
      </c>
      <c r="E45" s="24">
        <v>26</v>
      </c>
      <c r="F45" t="s">
        <v>3</v>
      </c>
      <c r="G45" t="s">
        <v>48</v>
      </c>
    </row>
    <row r="46" spans="1:7" x14ac:dyDescent="0.3">
      <c r="A46" s="22" t="s">
        <v>38</v>
      </c>
      <c r="B46">
        <v>1</v>
      </c>
      <c r="D46" t="s">
        <v>43</v>
      </c>
      <c r="E46" s="24">
        <v>37</v>
      </c>
      <c r="F46" t="s">
        <v>3</v>
      </c>
      <c r="G46" t="s">
        <v>48</v>
      </c>
    </row>
    <row r="47" spans="1:7" x14ac:dyDescent="0.3">
      <c r="A47" s="22" t="s">
        <v>49</v>
      </c>
      <c r="B47">
        <v>165</v>
      </c>
      <c r="E47">
        <f>SUM(E4:E46)</f>
        <v>165</v>
      </c>
    </row>
  </sheetData>
  <autoFilter ref="D3:E3" xr:uid="{CBA4ECF0-E32B-4E18-A70B-ACC7FD2A31F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84"/>
  <sheetViews>
    <sheetView tabSelected="1" topLeftCell="BF166" zoomScale="115" zoomScaleNormal="115" workbookViewId="0">
      <selection activeCell="BQ171" sqref="BQ171"/>
    </sheetView>
  </sheetViews>
  <sheetFormatPr baseColWidth="10" defaultColWidth="9.109375" defaultRowHeight="14.4" customHeight="1" x14ac:dyDescent="0.3"/>
  <cols>
    <col min="1" max="2" width="10.33203125" style="18" customWidth="1"/>
    <col min="3" max="3" width="31.109375" style="18" customWidth="1"/>
    <col min="4" max="4" width="14.44140625" style="18" customWidth="1"/>
    <col min="5" max="5" width="14.6640625" style="18" customWidth="1"/>
    <col min="6" max="6" width="20.109375" style="18" customWidth="1"/>
    <col min="7" max="7" width="11.88671875" style="18" hidden="1" customWidth="1"/>
    <col min="8" max="8" width="32.109375" style="18" customWidth="1"/>
    <col min="9" max="9" width="15" style="18" hidden="1" customWidth="1"/>
    <col min="10" max="11" width="16.109375" style="18" hidden="1" customWidth="1"/>
    <col min="12" max="12" width="15.33203125" style="18" hidden="1" customWidth="1"/>
    <col min="13" max="13" width="10" style="18" customWidth="1"/>
    <col min="14" max="14" width="12.109375" style="18" customWidth="1"/>
    <col min="15" max="17" width="10" style="18" customWidth="1"/>
    <col min="18" max="18" width="12.109375" style="18" customWidth="1"/>
    <col min="19" max="19" width="15.6640625" style="18" customWidth="1"/>
    <col min="20" max="20" width="14.33203125" style="18" customWidth="1"/>
    <col min="21" max="21" width="15.6640625" style="18" customWidth="1"/>
    <col min="22" max="31" width="12.6640625" style="18" customWidth="1"/>
    <col min="32" max="32" width="11.33203125" style="18" customWidth="1"/>
    <col min="33" max="33" width="9.109375" style="17"/>
    <col min="34" max="40" width="12.5546875" style="18" customWidth="1"/>
    <col min="41" max="41" width="12.44140625" style="18" customWidth="1"/>
    <col min="42" max="42" width="9.109375" style="17"/>
    <col min="43" max="43" width="9.109375" style="18" customWidth="1"/>
    <col min="44" max="45" width="11.5546875" style="18" customWidth="1"/>
    <col min="46" max="46" width="12.109375" style="18" customWidth="1"/>
    <col min="47" max="47" width="8.5546875" style="18" customWidth="1"/>
    <col min="48" max="48" width="9.88671875" style="18" customWidth="1"/>
    <col min="49" max="49" width="9.109375" style="17"/>
    <col min="50" max="50" width="9.5546875" style="18" customWidth="1"/>
    <col min="51" max="51" width="10.44140625" style="18" customWidth="1"/>
    <col min="52" max="52" width="8.88671875" style="18" customWidth="1"/>
    <col min="53" max="53" width="12.6640625" style="18" bestFit="1" customWidth="1"/>
    <col min="54" max="55" width="8.88671875" style="18" customWidth="1"/>
    <col min="56" max="56" width="9" style="18" customWidth="1"/>
    <col min="57" max="57" width="9" customWidth="1"/>
    <col min="58" max="59" width="12.5546875" style="18" customWidth="1"/>
    <col min="60" max="60" width="13.6640625" style="18" bestFit="1" customWidth="1"/>
    <col min="61" max="61" width="8.44140625" style="18" customWidth="1"/>
    <col min="62" max="62" width="8.88671875" style="18" customWidth="1"/>
    <col min="63" max="63" width="7.109375" style="18" customWidth="1"/>
    <col min="64" max="64" width="11.33203125" style="18" customWidth="1"/>
    <col min="65" max="65" width="12.5546875" style="18" customWidth="1"/>
    <col min="66" max="66" width="11.88671875" style="18" bestFit="1" customWidth="1"/>
    <col min="67" max="67" width="9.44140625" style="18" customWidth="1"/>
    <col min="68" max="68" width="8.33203125" style="18" customWidth="1"/>
    <col min="69" max="69" width="12.33203125" style="18" customWidth="1"/>
    <col min="70" max="70" width="12.5546875" style="18" customWidth="1"/>
    <col min="71" max="71" width="10.88671875" style="18" customWidth="1"/>
    <col min="72" max="72" width="12.5546875" style="18" customWidth="1"/>
    <col min="73" max="80" width="9.109375" style="18" customWidth="1"/>
    <col min="81" max="16384" width="9.109375" style="17"/>
  </cols>
  <sheetData>
    <row r="1" spans="1:76" ht="17.399999999999999" customHeight="1" x14ac:dyDescent="0.3">
      <c r="A1" s="1"/>
      <c r="B1" s="1"/>
      <c r="C1" s="2" t="s">
        <v>50</v>
      </c>
      <c r="D1" s="25"/>
      <c r="E1" s="26" t="s">
        <v>51</v>
      </c>
      <c r="F1" s="2"/>
      <c r="G1" s="2"/>
      <c r="H1" s="2"/>
      <c r="I1" s="3"/>
      <c r="J1" s="3"/>
      <c r="K1" s="3"/>
      <c r="L1" s="3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4"/>
      <c r="AH1" s="5"/>
      <c r="AI1" s="5"/>
      <c r="AJ1" s="5"/>
      <c r="AK1" s="5"/>
      <c r="AL1" s="5"/>
      <c r="AM1" s="5"/>
      <c r="AN1" s="5"/>
      <c r="AO1" s="6"/>
      <c r="AR1" s="5"/>
      <c r="AS1" s="5"/>
      <c r="AT1" s="5"/>
      <c r="AU1" s="6"/>
      <c r="AV1" s="5"/>
      <c r="AX1" s="5"/>
      <c r="AY1" s="5"/>
      <c r="AZ1" s="5"/>
      <c r="BA1" s="5"/>
      <c r="BB1" s="5"/>
      <c r="BC1" s="5"/>
      <c r="BD1" s="6"/>
      <c r="BF1" s="5"/>
      <c r="BG1" s="5"/>
      <c r="BH1" s="5"/>
      <c r="BI1" s="5"/>
      <c r="BJ1" s="5"/>
      <c r="BK1" s="5"/>
      <c r="BL1" s="5"/>
      <c r="BM1" s="5"/>
      <c r="BN1" s="5"/>
      <c r="BO1" s="7"/>
      <c r="BP1" s="5"/>
      <c r="BQ1" s="6"/>
      <c r="BT1" s="5"/>
    </row>
    <row r="2" spans="1:76" x14ac:dyDescent="0.3">
      <c r="A2" s="5"/>
      <c r="B2" s="5"/>
      <c r="C2" s="27" t="s">
        <v>52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8"/>
      <c r="AH2" s="9"/>
      <c r="AI2" s="66" t="s">
        <v>53</v>
      </c>
      <c r="AJ2" s="66"/>
      <c r="AK2" s="66"/>
      <c r="AL2" s="66"/>
      <c r="AM2" s="66"/>
      <c r="AN2" s="66"/>
      <c r="AO2" s="66"/>
      <c r="AR2" s="66" t="s">
        <v>54</v>
      </c>
      <c r="AS2" s="66"/>
      <c r="AT2" s="66"/>
      <c r="AU2" s="10"/>
      <c r="AV2" s="9"/>
      <c r="AX2" s="66" t="s">
        <v>55</v>
      </c>
      <c r="AY2" s="66"/>
      <c r="AZ2" s="66"/>
      <c r="BA2" s="66"/>
      <c r="BB2" s="66"/>
      <c r="BC2" s="66"/>
      <c r="BD2" s="66"/>
      <c r="BF2" s="9"/>
      <c r="BG2" s="9"/>
      <c r="BH2" s="66" t="s">
        <v>56</v>
      </c>
      <c r="BI2" s="66"/>
      <c r="BJ2" s="66"/>
      <c r="BK2" s="66"/>
      <c r="BL2" s="66"/>
      <c r="BM2" s="66"/>
      <c r="BN2" s="66"/>
      <c r="BO2" s="66"/>
      <c r="BP2" s="66"/>
      <c r="BQ2" s="66"/>
      <c r="BR2" s="19">
        <f>1/BM4</f>
        <v>3.3079175005375363E-4</v>
      </c>
      <c r="BT2" s="9"/>
    </row>
    <row r="3" spans="1:76" ht="48.75" customHeight="1" x14ac:dyDescent="0.3">
      <c r="A3" s="11" t="s">
        <v>57</v>
      </c>
      <c r="B3" s="11" t="s">
        <v>58</v>
      </c>
      <c r="C3" s="11" t="s">
        <v>59</v>
      </c>
      <c r="D3" s="11" t="s">
        <v>60</v>
      </c>
      <c r="E3" s="11" t="s">
        <v>61</v>
      </c>
      <c r="F3" s="11" t="s">
        <v>62</v>
      </c>
      <c r="G3" s="11" t="s">
        <v>63</v>
      </c>
      <c r="H3" s="12" t="s">
        <v>64</v>
      </c>
      <c r="I3" s="12" t="s">
        <v>65</v>
      </c>
      <c r="J3" s="12" t="s">
        <v>66</v>
      </c>
      <c r="K3" s="11" t="s">
        <v>67</v>
      </c>
      <c r="L3" s="11" t="s">
        <v>68</v>
      </c>
      <c r="M3" s="11" t="s">
        <v>69</v>
      </c>
      <c r="N3" s="11" t="s">
        <v>70</v>
      </c>
      <c r="O3" s="11" t="s">
        <v>71</v>
      </c>
      <c r="P3" s="11" t="s">
        <v>72</v>
      </c>
      <c r="Q3" s="11" t="s">
        <v>73</v>
      </c>
      <c r="R3" s="13" t="s">
        <v>74</v>
      </c>
      <c r="S3" s="13" t="s">
        <v>75</v>
      </c>
      <c r="T3" s="14" t="s">
        <v>76</v>
      </c>
      <c r="U3" s="14" t="s">
        <v>77</v>
      </c>
      <c r="V3" s="11" t="s">
        <v>78</v>
      </c>
      <c r="W3" s="14" t="s">
        <v>79</v>
      </c>
      <c r="X3" s="14" t="s">
        <v>80</v>
      </c>
      <c r="Y3" s="14" t="s">
        <v>81</v>
      </c>
      <c r="Z3" s="14" t="s">
        <v>82</v>
      </c>
      <c r="AA3" s="14" t="s">
        <v>83</v>
      </c>
      <c r="AB3" s="14" t="s">
        <v>84</v>
      </c>
      <c r="AC3" s="14" t="s">
        <v>85</v>
      </c>
      <c r="AD3" s="14" t="s">
        <v>86</v>
      </c>
      <c r="AE3" s="14" t="s">
        <v>87</v>
      </c>
      <c r="AF3" s="11" t="s">
        <v>88</v>
      </c>
      <c r="AH3" s="15"/>
      <c r="AI3" s="14" t="s">
        <v>89</v>
      </c>
      <c r="AJ3" s="14" t="s">
        <v>90</v>
      </c>
      <c r="AK3" s="14" t="s">
        <v>91</v>
      </c>
      <c r="AL3" s="14" t="s">
        <v>92</v>
      </c>
      <c r="AM3" s="14" t="s">
        <v>93</v>
      </c>
      <c r="AN3" s="14" t="s">
        <v>94</v>
      </c>
      <c r="AO3" s="14" t="s">
        <v>95</v>
      </c>
      <c r="AR3" s="14" t="s">
        <v>96</v>
      </c>
      <c r="AS3" s="14" t="s">
        <v>97</v>
      </c>
      <c r="AT3" s="14" t="s">
        <v>98</v>
      </c>
      <c r="AU3" s="14" t="s">
        <v>95</v>
      </c>
      <c r="AV3" s="14" t="s">
        <v>99</v>
      </c>
      <c r="AX3" s="14" t="s">
        <v>100</v>
      </c>
      <c r="AY3" s="14" t="s">
        <v>101</v>
      </c>
      <c r="AZ3" s="14" t="s">
        <v>102</v>
      </c>
      <c r="BA3" s="14" t="s">
        <v>103</v>
      </c>
      <c r="BB3" s="14" t="s">
        <v>104</v>
      </c>
      <c r="BC3" s="14" t="s">
        <v>105</v>
      </c>
      <c r="BD3" s="14" t="s">
        <v>95</v>
      </c>
      <c r="BF3" s="15"/>
      <c r="BG3" s="15"/>
      <c r="BH3" s="14" t="s">
        <v>106</v>
      </c>
      <c r="BI3" s="14" t="s">
        <v>107</v>
      </c>
      <c r="BJ3" s="14" t="s">
        <v>108</v>
      </c>
      <c r="BK3" s="14" t="s">
        <v>109</v>
      </c>
      <c r="BL3" s="14" t="s">
        <v>110</v>
      </c>
      <c r="BM3" s="14" t="s">
        <v>111</v>
      </c>
      <c r="BN3" s="14" t="s">
        <v>112</v>
      </c>
      <c r="BO3" s="14" t="s">
        <v>113</v>
      </c>
      <c r="BP3" s="14" t="s">
        <v>114</v>
      </c>
      <c r="BQ3" s="14" t="s">
        <v>115</v>
      </c>
      <c r="BR3" s="14" t="s">
        <v>116</v>
      </c>
      <c r="BS3" s="14" t="s">
        <v>117</v>
      </c>
      <c r="BT3" s="14" t="s">
        <v>118</v>
      </c>
    </row>
    <row r="4" spans="1:76" x14ac:dyDescent="0.3">
      <c r="A4" s="47" t="s">
        <v>119</v>
      </c>
      <c r="B4" s="16" t="s">
        <v>120</v>
      </c>
      <c r="C4" s="27" t="s">
        <v>121</v>
      </c>
      <c r="D4" s="29">
        <v>45231.208518518513</v>
      </c>
      <c r="E4" s="29"/>
      <c r="F4" s="16" t="s">
        <v>122</v>
      </c>
      <c r="G4" s="16" t="s">
        <v>123</v>
      </c>
      <c r="H4" s="16" t="s">
        <v>29</v>
      </c>
      <c r="I4" s="16" t="s">
        <v>124</v>
      </c>
      <c r="J4" s="30" t="s">
        <v>125</v>
      </c>
      <c r="K4" s="16" t="s">
        <v>126</v>
      </c>
      <c r="L4" s="16">
        <f t="shared" ref="L4:L35" si="0">IF(AL4&gt;0,31.94,14.44)</f>
        <v>31.94</v>
      </c>
      <c r="M4" s="31">
        <v>11096952</v>
      </c>
      <c r="N4" s="31"/>
      <c r="O4" s="31"/>
      <c r="P4" s="31"/>
      <c r="Q4" s="31"/>
      <c r="R4" s="31"/>
      <c r="S4" s="40">
        <v>13774128</v>
      </c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2">
        <f t="shared" ref="AF4:AF35" si="1">SUM(M4,O4,P4,Q4,R4,S4,T4,U4,V4,W4,X4,Y4,Z4,AA4,AB4,AC4,N4,AE4,AD4)</f>
        <v>24871080</v>
      </c>
      <c r="AH4" s="33"/>
      <c r="AI4" s="31">
        <v>2984557</v>
      </c>
      <c r="AJ4" s="31">
        <v>2114057</v>
      </c>
      <c r="AK4" s="31">
        <v>605900</v>
      </c>
      <c r="AL4" s="31">
        <v>994900</v>
      </c>
      <c r="AM4" s="31">
        <v>497500</v>
      </c>
      <c r="AN4" s="31">
        <v>746200</v>
      </c>
      <c r="AO4" s="32">
        <f t="shared" ref="AO4:AO35" si="2">SUM(AL4,AJ4,AN4,AK4,AM4,AI4)</f>
        <v>7943114</v>
      </c>
      <c r="AR4" s="31">
        <v>2072590</v>
      </c>
      <c r="AS4" s="31">
        <v>2807387</v>
      </c>
      <c r="AT4" s="31">
        <v>438394</v>
      </c>
      <c r="AU4" s="32">
        <f t="shared" ref="AU4:AU35" si="3">SUM(AR4,AS4,AT4)</f>
        <v>5318371</v>
      </c>
      <c r="AV4" s="41">
        <f>SUM(AO4,AU4,BC4)</f>
        <v>13321946</v>
      </c>
      <c r="AX4" s="31">
        <v>1158141</v>
      </c>
      <c r="AY4" s="31">
        <v>0</v>
      </c>
      <c r="AZ4" s="31">
        <v>0</v>
      </c>
      <c r="BA4" s="31">
        <v>0</v>
      </c>
      <c r="BB4" s="31">
        <v>0</v>
      </c>
      <c r="BC4" s="31">
        <f>$BM$4*20</f>
        <v>60461</v>
      </c>
      <c r="BD4" s="35">
        <f t="shared" ref="BD4:BD35" si="4">SUM(AX4,AY4,AZ4,BA4,BB4,BC4,AD4)</f>
        <v>1218602</v>
      </c>
      <c r="BF4" s="28">
        <f>BK4/$BM$4</f>
        <v>11.399999999999999</v>
      </c>
      <c r="BG4" s="28">
        <f>BJ4/$BM$4</f>
        <v>52.068165594350077</v>
      </c>
      <c r="BH4" s="31">
        <f>SUM(AF4,AO4,AU4,BD4,BJ4)</f>
        <v>39508571.667999998</v>
      </c>
      <c r="BI4" s="31">
        <f>60*BM4</f>
        <v>181383</v>
      </c>
      <c r="BJ4" s="40">
        <f t="shared" ref="BJ4:BJ35" si="5">(AF4+AO4+AU4+BD4)*0.004</f>
        <v>157404.66800000001</v>
      </c>
      <c r="BK4" s="40">
        <f t="shared" ref="BK4:BK35" si="6">BI4*0.19</f>
        <v>34462.769999999997</v>
      </c>
      <c r="BL4" s="31">
        <f t="shared" ref="BL4:BL35" si="7">SUM(BH4,BI4,BK4)</f>
        <v>39724417.438000001</v>
      </c>
      <c r="BM4" s="36">
        <v>3023.05</v>
      </c>
      <c r="BN4" s="37">
        <f t="shared" ref="BN4:BN35" si="8">ROUND(BH4/BM4,2)</f>
        <v>13069.11</v>
      </c>
      <c r="BO4" s="37">
        <f t="shared" ref="BO4:BO35" si="9">ROUND(BI4/BM4,2)</f>
        <v>60</v>
      </c>
      <c r="BP4" s="37">
        <f t="shared" ref="BP4:BP35" si="10">ROUND(BK4/BM4,2)</f>
        <v>11.4</v>
      </c>
      <c r="BQ4" s="37">
        <f t="shared" ref="BQ4" si="11">SUM(BN4,BO4,BP4)</f>
        <v>13140.51</v>
      </c>
      <c r="BR4" s="38">
        <v>12957.17</v>
      </c>
      <c r="BS4" s="37">
        <f>BQ4-BR4</f>
        <v>183.34000000000015</v>
      </c>
      <c r="BT4" s="46" t="s">
        <v>127</v>
      </c>
      <c r="BU4" s="18">
        <f>AX4/BM4</f>
        <v>383.10348819900429</v>
      </c>
      <c r="BW4" s="31">
        <f>BM4*40</f>
        <v>120922</v>
      </c>
      <c r="BX4" s="31">
        <f>BW4-BC4</f>
        <v>60461</v>
      </c>
    </row>
    <row r="5" spans="1:76" x14ac:dyDescent="0.3">
      <c r="A5" s="47" t="s">
        <v>128</v>
      </c>
      <c r="B5" s="16" t="s">
        <v>129</v>
      </c>
      <c r="C5" s="27" t="s">
        <v>130</v>
      </c>
      <c r="D5" s="29">
        <v>45945.208518518513</v>
      </c>
      <c r="E5" s="29"/>
      <c r="F5" s="16" t="s">
        <v>122</v>
      </c>
      <c r="G5" s="16" t="s">
        <v>123</v>
      </c>
      <c r="H5" s="16" t="s">
        <v>33</v>
      </c>
      <c r="I5" s="16" t="s">
        <v>131</v>
      </c>
      <c r="J5" s="30" t="s">
        <v>125</v>
      </c>
      <c r="K5" s="16" t="s">
        <v>126</v>
      </c>
      <c r="L5" s="16">
        <f t="shared" si="0"/>
        <v>31.94</v>
      </c>
      <c r="M5" s="31">
        <v>4500000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E5" s="31"/>
      <c r="AF5" s="32">
        <f t="shared" si="1"/>
        <v>4500000</v>
      </c>
      <c r="AI5" s="31">
        <v>540000</v>
      </c>
      <c r="AJ5" s="31"/>
      <c r="AK5" s="31">
        <v>109700</v>
      </c>
      <c r="AL5" s="31">
        <v>180000</v>
      </c>
      <c r="AM5" s="31"/>
      <c r="AN5" s="31"/>
      <c r="AO5" s="32">
        <f t="shared" si="2"/>
        <v>829700</v>
      </c>
      <c r="AR5" s="31">
        <v>375000</v>
      </c>
      <c r="AS5" s="31">
        <v>375000</v>
      </c>
      <c r="AT5" s="31">
        <v>63750</v>
      </c>
      <c r="AU5" s="32">
        <f t="shared" si="3"/>
        <v>813750</v>
      </c>
      <c r="AV5" s="41">
        <f t="shared" ref="AV5:AV68" si="12">SUM(AO5,AU5,BC5)</f>
        <v>1703911</v>
      </c>
      <c r="AX5" s="31">
        <v>0</v>
      </c>
      <c r="AY5" s="31">
        <v>0</v>
      </c>
      <c r="AZ5" s="31">
        <v>0</v>
      </c>
      <c r="BA5" s="20">
        <v>0</v>
      </c>
      <c r="BB5" s="31">
        <v>0</v>
      </c>
      <c r="BC5" s="31">
        <f t="shared" ref="BC5:BC68" si="13">$BM$4*20</f>
        <v>60461</v>
      </c>
      <c r="BD5" s="35">
        <f t="shared" si="4"/>
        <v>60461</v>
      </c>
      <c r="BF5" s="28">
        <f t="shared" ref="BF5:BF68" si="14">BK5/$BM$4</f>
        <v>11.399999999999999</v>
      </c>
      <c r="BG5" s="28">
        <f t="shared" ref="BG5:BG68" si="15">BJ5/$BM$4</f>
        <v>8.208810307470932</v>
      </c>
      <c r="BH5" s="31">
        <f t="shared" ref="BH5:BH35" si="16">SUM(AF5,AO5,AU5,BD5,BJ5)</f>
        <v>6228726.6440000003</v>
      </c>
      <c r="BI5" s="31">
        <f t="shared" ref="BI5:BI68" si="17">60*BM5</f>
        <v>181383</v>
      </c>
      <c r="BJ5" s="40">
        <f t="shared" si="5"/>
        <v>24815.644</v>
      </c>
      <c r="BK5" s="40">
        <f t="shared" si="6"/>
        <v>34462.769999999997</v>
      </c>
      <c r="BL5" s="31">
        <f t="shared" si="7"/>
        <v>6444572.4139999999</v>
      </c>
      <c r="BM5" s="36">
        <v>3023.05</v>
      </c>
      <c r="BN5" s="37">
        <f t="shared" si="8"/>
        <v>2060.41</v>
      </c>
      <c r="BO5" s="37">
        <f t="shared" si="9"/>
        <v>60</v>
      </c>
      <c r="BP5" s="37">
        <f t="shared" si="10"/>
        <v>11.4</v>
      </c>
      <c r="BQ5" s="37">
        <f t="shared" ref="BQ5:BQ35" si="18">SUM(BN5,BO5,BP5)</f>
        <v>2131.81</v>
      </c>
      <c r="BR5" s="38">
        <v>2131.83</v>
      </c>
      <c r="BS5" s="37">
        <f t="shared" ref="BS5:BS68" si="19">BQ5-BR5</f>
        <v>-1.999999999998181E-2</v>
      </c>
      <c r="BT5" s="46"/>
      <c r="BW5" s="31">
        <f t="shared" ref="BW5:BW68" si="20">BM5*40</f>
        <v>120922</v>
      </c>
      <c r="BX5" s="31">
        <f t="shared" ref="BX5:BX68" si="21">BW5-BC5</f>
        <v>60461</v>
      </c>
    </row>
    <row r="6" spans="1:76" x14ac:dyDescent="0.3">
      <c r="A6" s="47" t="s">
        <v>132</v>
      </c>
      <c r="B6" s="16" t="s">
        <v>133</v>
      </c>
      <c r="C6" s="27" t="s">
        <v>134</v>
      </c>
      <c r="D6" s="29">
        <v>46070.208518518513</v>
      </c>
      <c r="E6" s="29"/>
      <c r="F6" s="16" t="s">
        <v>122</v>
      </c>
      <c r="G6" s="16" t="s">
        <v>123</v>
      </c>
      <c r="H6" s="16" t="s">
        <v>44</v>
      </c>
      <c r="I6" s="16" t="s">
        <v>135</v>
      </c>
      <c r="J6" s="30" t="s">
        <v>125</v>
      </c>
      <c r="K6" s="16" t="s">
        <v>126</v>
      </c>
      <c r="L6" s="16">
        <f t="shared" si="0"/>
        <v>31.94</v>
      </c>
      <c r="M6" s="31">
        <v>12440000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48">
        <v>62500</v>
      </c>
      <c r="Y6" s="31"/>
      <c r="Z6" s="31"/>
      <c r="AA6" s="31"/>
      <c r="AB6" s="31"/>
      <c r="AC6" s="31"/>
      <c r="AE6" s="31"/>
      <c r="AF6" s="32">
        <f t="shared" si="1"/>
        <v>12502500</v>
      </c>
      <c r="AI6" s="31">
        <v>1492800</v>
      </c>
      <c r="AJ6" s="31"/>
      <c r="AK6" s="31">
        <v>303100</v>
      </c>
      <c r="AL6" s="31">
        <v>497600</v>
      </c>
      <c r="AM6" s="31"/>
      <c r="AN6" s="31"/>
      <c r="AO6" s="32">
        <f t="shared" si="2"/>
        <v>2293500</v>
      </c>
      <c r="AR6" s="31">
        <v>1036667</v>
      </c>
      <c r="AS6" s="31">
        <v>1036666</v>
      </c>
      <c r="AT6" s="31">
        <v>147091</v>
      </c>
      <c r="AU6" s="32">
        <f t="shared" si="3"/>
        <v>2220424</v>
      </c>
      <c r="AV6" s="41">
        <f t="shared" si="12"/>
        <v>4574385</v>
      </c>
      <c r="AX6" s="31">
        <v>0</v>
      </c>
      <c r="AY6" s="31">
        <v>0</v>
      </c>
      <c r="AZ6" s="31">
        <v>0</v>
      </c>
      <c r="BA6" s="20">
        <v>0</v>
      </c>
      <c r="BB6" s="31">
        <v>0</v>
      </c>
      <c r="BC6" s="31">
        <f t="shared" si="13"/>
        <v>60461</v>
      </c>
      <c r="BD6" s="35">
        <f t="shared" si="4"/>
        <v>60461</v>
      </c>
      <c r="BF6" s="28">
        <f t="shared" si="14"/>
        <v>11.399999999999999</v>
      </c>
      <c r="BG6" s="28">
        <f t="shared" si="15"/>
        <v>22.59557069846678</v>
      </c>
      <c r="BH6" s="31">
        <f t="shared" si="16"/>
        <v>17145192.539999999</v>
      </c>
      <c r="BI6" s="31">
        <f t="shared" si="17"/>
        <v>181383</v>
      </c>
      <c r="BJ6" s="40">
        <f t="shared" si="5"/>
        <v>68307.540000000008</v>
      </c>
      <c r="BK6" s="40">
        <f t="shared" si="6"/>
        <v>34462.769999999997</v>
      </c>
      <c r="BL6" s="31">
        <f t="shared" si="7"/>
        <v>17361038.309999999</v>
      </c>
      <c r="BM6" s="36">
        <v>3023.05</v>
      </c>
      <c r="BN6" s="37">
        <f t="shared" si="8"/>
        <v>5671.49</v>
      </c>
      <c r="BO6" s="37">
        <f t="shared" si="9"/>
        <v>60</v>
      </c>
      <c r="BP6" s="37">
        <f t="shared" si="10"/>
        <v>11.4</v>
      </c>
      <c r="BQ6" s="37">
        <f t="shared" si="18"/>
        <v>5742.8899999999994</v>
      </c>
      <c r="BR6" s="38">
        <v>5742.82</v>
      </c>
      <c r="BS6" s="37">
        <f t="shared" si="19"/>
        <v>6.9999999999708962E-2</v>
      </c>
      <c r="BT6" s="46" t="s">
        <v>136</v>
      </c>
      <c r="BW6" s="31">
        <f t="shared" si="20"/>
        <v>120922</v>
      </c>
      <c r="BX6" s="31">
        <f t="shared" si="21"/>
        <v>60461</v>
      </c>
    </row>
    <row r="7" spans="1:76" x14ac:dyDescent="0.3">
      <c r="A7" s="47" t="s">
        <v>137</v>
      </c>
      <c r="B7" s="16" t="s">
        <v>138</v>
      </c>
      <c r="C7" s="39" t="s">
        <v>139</v>
      </c>
      <c r="D7" s="29">
        <v>46244.208518518513</v>
      </c>
      <c r="E7" s="29"/>
      <c r="F7" s="16" t="s">
        <v>122</v>
      </c>
      <c r="G7" s="16" t="s">
        <v>123</v>
      </c>
      <c r="H7" s="16" t="s">
        <v>43</v>
      </c>
      <c r="I7" s="16" t="s">
        <v>140</v>
      </c>
      <c r="J7" s="30" t="s">
        <v>125</v>
      </c>
      <c r="K7" s="16" t="s">
        <v>126</v>
      </c>
      <c r="L7" s="16">
        <f t="shared" si="0"/>
        <v>31.94</v>
      </c>
      <c r="M7" s="31">
        <v>2825000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40">
        <v>249095</v>
      </c>
      <c r="AA7" s="31"/>
      <c r="AB7" s="31"/>
      <c r="AC7" s="31"/>
      <c r="AE7" s="31"/>
      <c r="AF7" s="32">
        <f t="shared" si="1"/>
        <v>3074095</v>
      </c>
      <c r="AI7" s="31">
        <v>339000</v>
      </c>
      <c r="AJ7" s="31"/>
      <c r="AK7" s="31">
        <v>14800</v>
      </c>
      <c r="AL7" s="31">
        <v>113000</v>
      </c>
      <c r="AM7" s="31"/>
      <c r="AN7" s="31"/>
      <c r="AO7" s="32">
        <f t="shared" si="2"/>
        <v>466800</v>
      </c>
      <c r="AR7" s="31">
        <v>256175</v>
      </c>
      <c r="AS7" s="31">
        <v>256175</v>
      </c>
      <c r="AT7" s="31">
        <v>6148</v>
      </c>
      <c r="AU7" s="32">
        <f t="shared" si="3"/>
        <v>518498</v>
      </c>
      <c r="AV7" s="41">
        <f t="shared" si="12"/>
        <v>1045759</v>
      </c>
      <c r="AX7" s="31">
        <v>0</v>
      </c>
      <c r="AY7" s="31">
        <v>0</v>
      </c>
      <c r="AZ7" s="31">
        <v>0</v>
      </c>
      <c r="BA7" s="20">
        <v>0</v>
      </c>
      <c r="BB7" s="31">
        <v>0</v>
      </c>
      <c r="BC7" s="31">
        <f t="shared" si="13"/>
        <v>60461</v>
      </c>
      <c r="BD7" s="35">
        <f t="shared" si="4"/>
        <v>60461</v>
      </c>
      <c r="BF7" s="42">
        <f t="shared" si="14"/>
        <v>11.399999999999999</v>
      </c>
      <c r="BG7" s="42">
        <f t="shared" si="15"/>
        <v>5.4512548585038285</v>
      </c>
      <c r="BH7" s="31">
        <f t="shared" si="16"/>
        <v>4136333.4160000002</v>
      </c>
      <c r="BI7" s="31">
        <f t="shared" si="17"/>
        <v>181383</v>
      </c>
      <c r="BJ7" s="31">
        <f t="shared" si="5"/>
        <v>16479.416000000001</v>
      </c>
      <c r="BK7" s="31">
        <f t="shared" si="6"/>
        <v>34462.769999999997</v>
      </c>
      <c r="BL7" s="31">
        <f t="shared" si="7"/>
        <v>4352179.1859999998</v>
      </c>
      <c r="BM7" s="36">
        <v>3023.05</v>
      </c>
      <c r="BN7" s="37">
        <f t="shared" si="8"/>
        <v>1368.26</v>
      </c>
      <c r="BO7" s="37">
        <f t="shared" si="9"/>
        <v>60</v>
      </c>
      <c r="BP7" s="37">
        <f t="shared" si="10"/>
        <v>11.4</v>
      </c>
      <c r="BQ7" s="37">
        <f t="shared" si="18"/>
        <v>1439.66</v>
      </c>
      <c r="BR7" s="38">
        <v>1439.67</v>
      </c>
      <c r="BS7" s="37">
        <f t="shared" si="19"/>
        <v>-9.9999999999909051E-3</v>
      </c>
      <c r="BT7" s="46"/>
      <c r="BW7" s="31">
        <f t="shared" si="20"/>
        <v>120922</v>
      </c>
      <c r="BX7" s="31">
        <f t="shared" si="21"/>
        <v>60461</v>
      </c>
    </row>
    <row r="8" spans="1:76" x14ac:dyDescent="0.3">
      <c r="A8" s="47" t="s">
        <v>141</v>
      </c>
      <c r="B8" s="16" t="s">
        <v>142</v>
      </c>
      <c r="C8" s="27" t="s">
        <v>143</v>
      </c>
      <c r="D8" s="29">
        <v>45761.208518518513</v>
      </c>
      <c r="E8" s="29"/>
      <c r="F8" s="16" t="s">
        <v>122</v>
      </c>
      <c r="G8" s="16" t="s">
        <v>123</v>
      </c>
      <c r="H8" s="16" t="s">
        <v>40</v>
      </c>
      <c r="I8" s="16" t="s">
        <v>144</v>
      </c>
      <c r="J8" s="30" t="s">
        <v>125</v>
      </c>
      <c r="K8" s="16" t="s">
        <v>126</v>
      </c>
      <c r="L8" s="16">
        <f t="shared" si="0"/>
        <v>31.94</v>
      </c>
      <c r="M8" s="31">
        <v>6300000</v>
      </c>
      <c r="N8" s="31"/>
      <c r="O8" s="31"/>
      <c r="P8" s="31"/>
      <c r="Q8" s="31"/>
      <c r="R8" s="31"/>
      <c r="S8" s="31"/>
      <c r="T8" s="31"/>
      <c r="U8" s="31">
        <v>170000</v>
      </c>
      <c r="V8" s="31"/>
      <c r="W8" s="31"/>
      <c r="X8" s="31"/>
      <c r="Y8" s="31"/>
      <c r="Z8" s="31"/>
      <c r="AA8" s="31">
        <v>109000</v>
      </c>
      <c r="AB8" s="31"/>
      <c r="AC8" s="31"/>
      <c r="AE8" s="31"/>
      <c r="AF8" s="32">
        <f t="shared" si="1"/>
        <v>6579000</v>
      </c>
      <c r="AI8" s="31">
        <v>756000</v>
      </c>
      <c r="AJ8" s="31"/>
      <c r="AK8" s="31">
        <v>153500</v>
      </c>
      <c r="AL8" s="31">
        <v>252000</v>
      </c>
      <c r="AM8" s="31"/>
      <c r="AN8" s="31"/>
      <c r="AO8" s="32">
        <f t="shared" si="2"/>
        <v>1161500</v>
      </c>
      <c r="AR8" s="31">
        <v>525000</v>
      </c>
      <c r="AS8" s="31">
        <v>525000</v>
      </c>
      <c r="AT8" s="31">
        <v>94250</v>
      </c>
      <c r="AU8" s="32">
        <f t="shared" si="3"/>
        <v>1144250</v>
      </c>
      <c r="AV8" s="41">
        <f t="shared" si="12"/>
        <v>2366211</v>
      </c>
      <c r="AX8" s="31">
        <v>0</v>
      </c>
      <c r="AY8" s="31">
        <v>454263</v>
      </c>
      <c r="AZ8" s="31">
        <v>0</v>
      </c>
      <c r="BA8" s="20">
        <v>0</v>
      </c>
      <c r="BB8" s="31">
        <v>0</v>
      </c>
      <c r="BC8" s="31">
        <f t="shared" si="13"/>
        <v>60461</v>
      </c>
      <c r="BD8" s="35">
        <f t="shared" si="4"/>
        <v>514724</v>
      </c>
      <c r="BF8" s="28">
        <f t="shared" si="14"/>
        <v>11.399999999999999</v>
      </c>
      <c r="BG8" s="28">
        <f t="shared" si="15"/>
        <v>12.437073816179025</v>
      </c>
      <c r="BH8" s="31">
        <f t="shared" si="16"/>
        <v>9437071.8959999997</v>
      </c>
      <c r="BI8" s="31">
        <f t="shared" si="17"/>
        <v>181383</v>
      </c>
      <c r="BJ8" s="40">
        <f t="shared" si="5"/>
        <v>37597.896000000001</v>
      </c>
      <c r="BK8" s="40">
        <f t="shared" si="6"/>
        <v>34462.769999999997</v>
      </c>
      <c r="BL8" s="31">
        <f t="shared" si="7"/>
        <v>9652917.6659999993</v>
      </c>
      <c r="BM8" s="36">
        <v>3023.05</v>
      </c>
      <c r="BN8" s="37">
        <f t="shared" si="8"/>
        <v>3121.71</v>
      </c>
      <c r="BO8" s="37">
        <f t="shared" si="9"/>
        <v>60</v>
      </c>
      <c r="BP8" s="37">
        <f t="shared" si="10"/>
        <v>11.4</v>
      </c>
      <c r="BQ8" s="37">
        <f t="shared" si="18"/>
        <v>3193.11</v>
      </c>
      <c r="BR8" s="38">
        <v>3193.13</v>
      </c>
      <c r="BS8" s="37">
        <f t="shared" si="19"/>
        <v>-1.999999999998181E-2</v>
      </c>
      <c r="BT8" s="46"/>
      <c r="BW8" s="31">
        <f t="shared" si="20"/>
        <v>120922</v>
      </c>
      <c r="BX8" s="31">
        <f t="shared" si="21"/>
        <v>60461</v>
      </c>
    </row>
    <row r="9" spans="1:76" x14ac:dyDescent="0.3">
      <c r="A9" s="47" t="s">
        <v>145</v>
      </c>
      <c r="B9" s="16" t="s">
        <v>146</v>
      </c>
      <c r="C9" s="39" t="s">
        <v>147</v>
      </c>
      <c r="D9" s="29">
        <v>45734.208518518513</v>
      </c>
      <c r="E9" s="29"/>
      <c r="F9" s="16" t="s">
        <v>122</v>
      </c>
      <c r="G9" s="16" t="s">
        <v>123</v>
      </c>
      <c r="H9" s="16" t="s">
        <v>15</v>
      </c>
      <c r="I9" s="16" t="s">
        <v>148</v>
      </c>
      <c r="J9" s="30" t="s">
        <v>125</v>
      </c>
      <c r="K9" s="16" t="s">
        <v>126</v>
      </c>
      <c r="L9" s="16">
        <f t="shared" si="0"/>
        <v>31.94</v>
      </c>
      <c r="M9" s="40">
        <v>6487385</v>
      </c>
      <c r="N9" s="31"/>
      <c r="O9" s="31"/>
      <c r="P9" s="31"/>
      <c r="Q9" s="31"/>
      <c r="R9" s="40">
        <v>936699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E9" s="31"/>
      <c r="AF9" s="32">
        <f t="shared" si="1"/>
        <v>7424084</v>
      </c>
      <c r="AI9" s="31">
        <v>922767</v>
      </c>
      <c r="AJ9" s="31"/>
      <c r="AK9" s="31">
        <v>28600</v>
      </c>
      <c r="AL9" s="31">
        <v>297200</v>
      </c>
      <c r="AM9" s="31"/>
      <c r="AN9" s="31"/>
      <c r="AO9" s="32">
        <f t="shared" si="2"/>
        <v>1248567</v>
      </c>
      <c r="AR9" s="31">
        <v>617277</v>
      </c>
      <c r="AS9" s="31">
        <v>617277</v>
      </c>
      <c r="AT9" s="31">
        <v>102357</v>
      </c>
      <c r="AU9" s="32">
        <f t="shared" si="3"/>
        <v>1336911</v>
      </c>
      <c r="AV9" s="41">
        <f t="shared" si="12"/>
        <v>2645939</v>
      </c>
      <c r="AX9" s="31">
        <v>0</v>
      </c>
      <c r="AY9" s="31">
        <v>0</v>
      </c>
      <c r="AZ9" s="31">
        <v>0</v>
      </c>
      <c r="BA9" s="20">
        <v>0</v>
      </c>
      <c r="BB9" s="31">
        <v>0</v>
      </c>
      <c r="BC9" s="31">
        <f t="shared" si="13"/>
        <v>60461</v>
      </c>
      <c r="BD9" s="35">
        <f t="shared" si="4"/>
        <v>60461</v>
      </c>
      <c r="BF9" s="42">
        <f t="shared" si="14"/>
        <v>11.399999999999999</v>
      </c>
      <c r="BG9" s="42">
        <f t="shared" si="15"/>
        <v>13.324322125006203</v>
      </c>
      <c r="BH9" s="31">
        <f t="shared" si="16"/>
        <v>10110303.092</v>
      </c>
      <c r="BI9" s="31">
        <f t="shared" si="17"/>
        <v>181383</v>
      </c>
      <c r="BJ9" s="31">
        <f t="shared" si="5"/>
        <v>40280.092000000004</v>
      </c>
      <c r="BK9" s="31">
        <f t="shared" si="6"/>
        <v>34462.769999999997</v>
      </c>
      <c r="BL9" s="31">
        <f t="shared" si="7"/>
        <v>10326148.862</v>
      </c>
      <c r="BM9" s="36">
        <v>3023.05</v>
      </c>
      <c r="BN9" s="37">
        <f t="shared" si="8"/>
        <v>3344.4</v>
      </c>
      <c r="BO9" s="37">
        <f t="shared" si="9"/>
        <v>60</v>
      </c>
      <c r="BP9" s="37">
        <f t="shared" si="10"/>
        <v>11.4</v>
      </c>
      <c r="BQ9" s="37">
        <f t="shared" si="18"/>
        <v>3415.8</v>
      </c>
      <c r="BR9" s="38">
        <v>3415.82</v>
      </c>
      <c r="BS9" s="37">
        <f t="shared" si="19"/>
        <v>-1.999999999998181E-2</v>
      </c>
      <c r="BT9" s="46"/>
      <c r="BW9" s="31">
        <f t="shared" si="20"/>
        <v>120922</v>
      </c>
      <c r="BX9" s="31">
        <f t="shared" si="21"/>
        <v>60461</v>
      </c>
    </row>
    <row r="10" spans="1:76" x14ac:dyDescent="0.3">
      <c r="A10" s="47" t="s">
        <v>149</v>
      </c>
      <c r="B10" s="16" t="s">
        <v>150</v>
      </c>
      <c r="C10" s="27" t="s">
        <v>151</v>
      </c>
      <c r="D10" s="29">
        <v>46219.208518518513</v>
      </c>
      <c r="E10" s="29"/>
      <c r="F10" s="16" t="s">
        <v>122</v>
      </c>
      <c r="G10" s="16" t="s">
        <v>123</v>
      </c>
      <c r="H10" s="16" t="s">
        <v>36</v>
      </c>
      <c r="I10" s="16" t="s">
        <v>152</v>
      </c>
      <c r="J10" s="30" t="s">
        <v>125</v>
      </c>
      <c r="K10" s="16" t="s">
        <v>126</v>
      </c>
      <c r="L10" s="16">
        <f t="shared" si="0"/>
        <v>31.94</v>
      </c>
      <c r="M10" s="31">
        <v>2223100</v>
      </c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40">
        <v>249095</v>
      </c>
      <c r="AA10" s="31"/>
      <c r="AB10" s="31"/>
      <c r="AC10" s="31"/>
      <c r="AE10" s="31"/>
      <c r="AF10" s="32">
        <f t="shared" si="1"/>
        <v>2472195</v>
      </c>
      <c r="AI10" s="31">
        <v>266776</v>
      </c>
      <c r="AJ10" s="31"/>
      <c r="AK10" s="31">
        <v>11700</v>
      </c>
      <c r="AL10" s="31">
        <v>89000</v>
      </c>
      <c r="AM10" s="31"/>
      <c r="AN10" s="31"/>
      <c r="AO10" s="32">
        <f t="shared" si="2"/>
        <v>367476</v>
      </c>
      <c r="AR10" s="31">
        <v>206017</v>
      </c>
      <c r="AS10" s="31">
        <v>206017</v>
      </c>
      <c r="AT10" s="31">
        <v>8527</v>
      </c>
      <c r="AU10" s="32">
        <f t="shared" si="3"/>
        <v>420561</v>
      </c>
      <c r="AV10" s="41">
        <f t="shared" si="12"/>
        <v>848498</v>
      </c>
      <c r="AX10" s="31">
        <v>0</v>
      </c>
      <c r="AY10" s="31">
        <v>0</v>
      </c>
      <c r="AZ10" s="31">
        <v>0</v>
      </c>
      <c r="BA10" s="20">
        <v>0</v>
      </c>
      <c r="BB10" s="31">
        <v>0</v>
      </c>
      <c r="BC10" s="31">
        <f t="shared" si="13"/>
        <v>60461</v>
      </c>
      <c r="BD10" s="35">
        <f t="shared" si="4"/>
        <v>60461</v>
      </c>
      <c r="BF10" s="28">
        <f t="shared" si="14"/>
        <v>11.399999999999999</v>
      </c>
      <c r="BG10" s="28">
        <f t="shared" si="15"/>
        <v>4.3938313954449972</v>
      </c>
      <c r="BH10" s="31">
        <f t="shared" si="16"/>
        <v>3333975.7719999999</v>
      </c>
      <c r="BI10" s="31">
        <f t="shared" si="17"/>
        <v>181383</v>
      </c>
      <c r="BJ10" s="40">
        <f t="shared" si="5"/>
        <v>13282.772000000001</v>
      </c>
      <c r="BK10" s="40">
        <f t="shared" si="6"/>
        <v>34462.769999999997</v>
      </c>
      <c r="BL10" s="31">
        <f t="shared" si="7"/>
        <v>3549821.5419999999</v>
      </c>
      <c r="BM10" s="36">
        <v>3023.05</v>
      </c>
      <c r="BN10" s="37">
        <f t="shared" si="8"/>
        <v>1102.8499999999999</v>
      </c>
      <c r="BO10" s="37">
        <f t="shared" si="9"/>
        <v>60</v>
      </c>
      <c r="BP10" s="37">
        <f t="shared" si="10"/>
        <v>11.4</v>
      </c>
      <c r="BQ10" s="37">
        <f t="shared" si="18"/>
        <v>1174.25</v>
      </c>
      <c r="BR10" s="38">
        <v>1174.26</v>
      </c>
      <c r="BS10" s="37">
        <f t="shared" si="19"/>
        <v>-9.9999999999909051E-3</v>
      </c>
      <c r="BT10" s="46"/>
      <c r="BW10" s="31">
        <f t="shared" si="20"/>
        <v>120922</v>
      </c>
      <c r="BX10" s="31">
        <f t="shared" si="21"/>
        <v>60461</v>
      </c>
    </row>
    <row r="11" spans="1:76" x14ac:dyDescent="0.3">
      <c r="A11" s="47" t="s">
        <v>153</v>
      </c>
      <c r="B11" s="16" t="s">
        <v>154</v>
      </c>
      <c r="C11" s="39" t="s">
        <v>155</v>
      </c>
      <c r="D11" s="29">
        <v>46120.208518518513</v>
      </c>
      <c r="E11" s="29">
        <v>46484.208518518513</v>
      </c>
      <c r="F11" s="16" t="s">
        <v>122</v>
      </c>
      <c r="G11" s="16" t="s">
        <v>123</v>
      </c>
      <c r="H11" s="16" t="s">
        <v>32</v>
      </c>
      <c r="I11" s="16" t="s">
        <v>156</v>
      </c>
      <c r="J11" s="30" t="s">
        <v>125</v>
      </c>
      <c r="K11" s="16" t="s">
        <v>126</v>
      </c>
      <c r="L11" s="16">
        <f t="shared" si="0"/>
        <v>31.94</v>
      </c>
      <c r="M11" s="31">
        <v>4900000</v>
      </c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E11" s="31"/>
      <c r="AF11" s="32">
        <f t="shared" si="1"/>
        <v>4900000</v>
      </c>
      <c r="AI11" s="31">
        <v>588000</v>
      </c>
      <c r="AJ11" s="31"/>
      <c r="AK11" s="31">
        <v>25600</v>
      </c>
      <c r="AL11" s="31">
        <v>196000</v>
      </c>
      <c r="AM11" s="31"/>
      <c r="AN11" s="31"/>
      <c r="AO11" s="32">
        <f t="shared" si="2"/>
        <v>809600</v>
      </c>
      <c r="AR11" s="31">
        <v>408333</v>
      </c>
      <c r="AS11" s="31">
        <v>408333</v>
      </c>
      <c r="AT11" s="31">
        <v>43011</v>
      </c>
      <c r="AU11" s="32">
        <f t="shared" si="3"/>
        <v>859677</v>
      </c>
      <c r="AV11" s="41">
        <f t="shared" si="12"/>
        <v>1729738</v>
      </c>
      <c r="AX11" s="31">
        <v>0</v>
      </c>
      <c r="AY11" s="31">
        <v>0</v>
      </c>
      <c r="AZ11" s="31">
        <v>0</v>
      </c>
      <c r="BA11" s="20">
        <v>0</v>
      </c>
      <c r="BB11" s="31">
        <v>0</v>
      </c>
      <c r="BC11" s="31">
        <f t="shared" si="13"/>
        <v>60461</v>
      </c>
      <c r="BD11" s="35">
        <f t="shared" si="4"/>
        <v>60461</v>
      </c>
      <c r="BF11" s="42">
        <f t="shared" si="14"/>
        <v>11.399999999999999</v>
      </c>
      <c r="BG11" s="42">
        <f t="shared" si="15"/>
        <v>8.7722505416714913</v>
      </c>
      <c r="BH11" s="31">
        <f t="shared" si="16"/>
        <v>6656256.9519999996</v>
      </c>
      <c r="BI11" s="31">
        <f t="shared" si="17"/>
        <v>181383</v>
      </c>
      <c r="BJ11" s="31">
        <f t="shared" si="5"/>
        <v>26518.952000000001</v>
      </c>
      <c r="BK11" s="31">
        <f t="shared" si="6"/>
        <v>34462.769999999997</v>
      </c>
      <c r="BL11" s="31">
        <f t="shared" si="7"/>
        <v>6872102.7219999991</v>
      </c>
      <c r="BM11" s="36">
        <v>3023.05</v>
      </c>
      <c r="BN11" s="37">
        <f t="shared" si="8"/>
        <v>2201.83</v>
      </c>
      <c r="BO11" s="37">
        <f t="shared" si="9"/>
        <v>60</v>
      </c>
      <c r="BP11" s="37">
        <f t="shared" si="10"/>
        <v>11.4</v>
      </c>
      <c r="BQ11" s="37">
        <f t="shared" si="18"/>
        <v>2273.23</v>
      </c>
      <c r="BR11" s="38">
        <v>2273.25</v>
      </c>
      <c r="BS11" s="37">
        <f t="shared" si="19"/>
        <v>-1.999999999998181E-2</v>
      </c>
      <c r="BT11" s="46"/>
      <c r="BW11" s="31">
        <f t="shared" si="20"/>
        <v>120922</v>
      </c>
      <c r="BX11" s="31">
        <f t="shared" si="21"/>
        <v>60461</v>
      </c>
    </row>
    <row r="12" spans="1:76" x14ac:dyDescent="0.3">
      <c r="A12" s="47" t="s">
        <v>157</v>
      </c>
      <c r="B12" s="16" t="s">
        <v>158</v>
      </c>
      <c r="C12" s="27" t="s">
        <v>159</v>
      </c>
      <c r="D12" s="29">
        <v>45931.208518518513</v>
      </c>
      <c r="E12" s="29"/>
      <c r="F12" s="16" t="s">
        <v>122</v>
      </c>
      <c r="G12" s="16" t="s">
        <v>123</v>
      </c>
      <c r="H12" s="16" t="s">
        <v>34</v>
      </c>
      <c r="I12" s="16" t="s">
        <v>160</v>
      </c>
      <c r="J12" s="30" t="s">
        <v>125</v>
      </c>
      <c r="K12" s="16" t="s">
        <v>126</v>
      </c>
      <c r="L12" s="16">
        <f t="shared" si="0"/>
        <v>31.94</v>
      </c>
      <c r="M12" s="31">
        <v>11000000</v>
      </c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E12" s="31"/>
      <c r="AF12" s="32">
        <f t="shared" si="1"/>
        <v>11000000</v>
      </c>
      <c r="AI12" s="31">
        <v>1320000</v>
      </c>
      <c r="AJ12" s="31"/>
      <c r="AK12" s="31">
        <v>268000</v>
      </c>
      <c r="AL12" s="31">
        <v>440000</v>
      </c>
      <c r="AM12" s="31"/>
      <c r="AN12" s="31"/>
      <c r="AO12" s="32">
        <f t="shared" si="2"/>
        <v>2028000</v>
      </c>
      <c r="AR12" s="31">
        <v>916667</v>
      </c>
      <c r="AS12" s="31">
        <v>916667</v>
      </c>
      <c r="AT12" s="31">
        <v>155833</v>
      </c>
      <c r="AU12" s="32">
        <f t="shared" si="3"/>
        <v>1989167</v>
      </c>
      <c r="AV12" s="41">
        <f t="shared" si="12"/>
        <v>4077628</v>
      </c>
      <c r="AX12" s="31">
        <v>0</v>
      </c>
      <c r="AY12" s="31">
        <v>0</v>
      </c>
      <c r="AZ12" s="31">
        <v>0</v>
      </c>
      <c r="BA12" s="20">
        <v>0</v>
      </c>
      <c r="BB12" s="31">
        <v>0</v>
      </c>
      <c r="BC12" s="31">
        <f t="shared" si="13"/>
        <v>60461</v>
      </c>
      <c r="BD12" s="35">
        <f t="shared" si="4"/>
        <v>60461</v>
      </c>
      <c r="BF12" s="28">
        <f t="shared" si="14"/>
        <v>11.399999999999999</v>
      </c>
      <c r="BG12" s="28">
        <f t="shared" si="15"/>
        <v>19.950219811117911</v>
      </c>
      <c r="BH12" s="31">
        <f t="shared" si="16"/>
        <v>15137938.512</v>
      </c>
      <c r="BI12" s="31">
        <f t="shared" si="17"/>
        <v>181383</v>
      </c>
      <c r="BJ12" s="40">
        <f t="shared" si="5"/>
        <v>60310.512000000002</v>
      </c>
      <c r="BK12" s="40">
        <f t="shared" si="6"/>
        <v>34462.769999999997</v>
      </c>
      <c r="BL12" s="31">
        <f t="shared" si="7"/>
        <v>15353784.282</v>
      </c>
      <c r="BM12" s="36">
        <v>3023.05</v>
      </c>
      <c r="BN12" s="37">
        <f t="shared" si="8"/>
        <v>5007.51</v>
      </c>
      <c r="BO12" s="37">
        <f t="shared" si="9"/>
        <v>60</v>
      </c>
      <c r="BP12" s="37">
        <f t="shared" si="10"/>
        <v>11.4</v>
      </c>
      <c r="BQ12" s="37">
        <f t="shared" si="18"/>
        <v>5078.91</v>
      </c>
      <c r="BR12" s="38">
        <v>5078.92</v>
      </c>
      <c r="BS12" s="37">
        <f t="shared" si="19"/>
        <v>-1.0000000000218279E-2</v>
      </c>
      <c r="BT12" s="46"/>
      <c r="BW12" s="31">
        <f t="shared" si="20"/>
        <v>120922</v>
      </c>
      <c r="BX12" s="31">
        <f t="shared" si="21"/>
        <v>60461</v>
      </c>
    </row>
    <row r="13" spans="1:76" x14ac:dyDescent="0.3">
      <c r="A13" s="47" t="s">
        <v>161</v>
      </c>
      <c r="B13" s="16" t="s">
        <v>162</v>
      </c>
      <c r="C13" s="39" t="s">
        <v>163</v>
      </c>
      <c r="D13" s="29">
        <v>46209.208518518513</v>
      </c>
      <c r="E13" s="29"/>
      <c r="F13" s="16" t="s">
        <v>122</v>
      </c>
      <c r="G13" s="16" t="s">
        <v>123</v>
      </c>
      <c r="H13" s="16" t="s">
        <v>43</v>
      </c>
      <c r="I13" s="16" t="s">
        <v>140</v>
      </c>
      <c r="J13" s="30" t="s">
        <v>125</v>
      </c>
      <c r="K13" s="16" t="s">
        <v>126</v>
      </c>
      <c r="L13" s="16">
        <f t="shared" si="0"/>
        <v>31.94</v>
      </c>
      <c r="M13" s="31">
        <v>2400000</v>
      </c>
      <c r="N13" s="31"/>
      <c r="O13" s="31"/>
      <c r="P13" s="31"/>
      <c r="Q13" s="31"/>
      <c r="R13" s="31"/>
      <c r="S13" s="31">
        <v>339500</v>
      </c>
      <c r="T13" s="31"/>
      <c r="U13" s="31"/>
      <c r="V13" s="31"/>
      <c r="W13" s="31"/>
      <c r="X13" s="31"/>
      <c r="Y13" s="31"/>
      <c r="Z13" s="40">
        <v>249095</v>
      </c>
      <c r="AA13" s="31"/>
      <c r="AB13" s="31"/>
      <c r="AC13" s="31"/>
      <c r="AE13" s="31"/>
      <c r="AF13" s="32">
        <f t="shared" si="1"/>
        <v>2988595</v>
      </c>
      <c r="AI13" s="31">
        <v>328820</v>
      </c>
      <c r="AJ13" s="31"/>
      <c r="AK13" s="31">
        <v>14400</v>
      </c>
      <c r="AL13" s="31">
        <v>109600</v>
      </c>
      <c r="AM13" s="31"/>
      <c r="AN13" s="31"/>
      <c r="AO13" s="32">
        <f t="shared" si="2"/>
        <v>452820</v>
      </c>
      <c r="AR13" s="31">
        <v>249049</v>
      </c>
      <c r="AS13" s="31">
        <v>249049</v>
      </c>
      <c r="AT13" s="31">
        <v>11104</v>
      </c>
      <c r="AU13" s="32">
        <f t="shared" si="3"/>
        <v>509202</v>
      </c>
      <c r="AV13" s="41">
        <f t="shared" si="12"/>
        <v>1022483</v>
      </c>
      <c r="AX13" s="31">
        <v>0</v>
      </c>
      <c r="AY13" s="31">
        <v>0</v>
      </c>
      <c r="AZ13" s="31">
        <v>0</v>
      </c>
      <c r="BA13" s="20">
        <v>0</v>
      </c>
      <c r="BB13" s="31">
        <v>0</v>
      </c>
      <c r="BC13" s="31">
        <f t="shared" si="13"/>
        <v>60461</v>
      </c>
      <c r="BD13" s="35">
        <f t="shared" si="4"/>
        <v>60461</v>
      </c>
      <c r="BF13" s="42">
        <f t="shared" si="14"/>
        <v>11.399999999999999</v>
      </c>
      <c r="BG13" s="42">
        <f t="shared" si="15"/>
        <v>5.3073260448884403</v>
      </c>
      <c r="BH13" s="31">
        <f t="shared" si="16"/>
        <v>4027122.3119999999</v>
      </c>
      <c r="BI13" s="31">
        <f t="shared" si="17"/>
        <v>181383</v>
      </c>
      <c r="BJ13" s="31">
        <f t="shared" si="5"/>
        <v>16044.312</v>
      </c>
      <c r="BK13" s="31">
        <f t="shared" si="6"/>
        <v>34462.769999999997</v>
      </c>
      <c r="BL13" s="31">
        <f t="shared" si="7"/>
        <v>4242968.0819999995</v>
      </c>
      <c r="BM13" s="36">
        <v>3023.05</v>
      </c>
      <c r="BN13" s="37">
        <f t="shared" si="8"/>
        <v>1332.14</v>
      </c>
      <c r="BO13" s="37">
        <f t="shared" si="9"/>
        <v>60</v>
      </c>
      <c r="BP13" s="37">
        <f t="shared" si="10"/>
        <v>11.4</v>
      </c>
      <c r="BQ13" s="37">
        <f t="shared" si="18"/>
        <v>1403.5400000000002</v>
      </c>
      <c r="BR13" s="38">
        <v>1403.56</v>
      </c>
      <c r="BS13" s="37">
        <f t="shared" si="19"/>
        <v>-1.9999999999754436E-2</v>
      </c>
      <c r="BT13" s="46" t="s">
        <v>164</v>
      </c>
      <c r="BW13" s="31">
        <f t="shared" si="20"/>
        <v>120922</v>
      </c>
      <c r="BX13" s="31">
        <f t="shared" si="21"/>
        <v>60461</v>
      </c>
    </row>
    <row r="14" spans="1:76" x14ac:dyDescent="0.3">
      <c r="A14" s="47" t="s">
        <v>165</v>
      </c>
      <c r="B14" s="16" t="s">
        <v>166</v>
      </c>
      <c r="C14" s="39" t="s">
        <v>167</v>
      </c>
      <c r="D14" s="29">
        <v>46146.208518518513</v>
      </c>
      <c r="E14" s="29"/>
      <c r="F14" s="16" t="s">
        <v>122</v>
      </c>
      <c r="G14" s="16" t="s">
        <v>123</v>
      </c>
      <c r="H14" s="16" t="s">
        <v>15</v>
      </c>
      <c r="I14" s="16" t="s">
        <v>148</v>
      </c>
      <c r="J14" s="30" t="s">
        <v>125</v>
      </c>
      <c r="K14" s="16" t="s">
        <v>126</v>
      </c>
      <c r="L14" s="16">
        <f t="shared" si="0"/>
        <v>31.94</v>
      </c>
      <c r="M14" s="31">
        <v>3500000</v>
      </c>
      <c r="N14" s="31"/>
      <c r="O14" s="31"/>
      <c r="P14" s="31"/>
      <c r="Q14" s="31"/>
      <c r="R14" s="40">
        <v>253333</v>
      </c>
      <c r="S14" s="31">
        <v>1508000</v>
      </c>
      <c r="T14" s="31"/>
      <c r="U14" s="31"/>
      <c r="V14" s="31"/>
      <c r="W14" s="31"/>
      <c r="X14" s="31"/>
      <c r="Y14" s="31"/>
      <c r="Z14" s="31">
        <v>249095</v>
      </c>
      <c r="AA14" s="31"/>
      <c r="AB14" s="31"/>
      <c r="AC14" s="31"/>
      <c r="AE14" s="31"/>
      <c r="AF14" s="32">
        <f t="shared" si="1"/>
        <v>5510428</v>
      </c>
      <c r="AI14" s="31">
        <v>631447</v>
      </c>
      <c r="AJ14" s="31"/>
      <c r="AK14" s="31">
        <v>27500</v>
      </c>
      <c r="AL14" s="31">
        <v>210500</v>
      </c>
      <c r="AM14" s="31"/>
      <c r="AN14" s="31"/>
      <c r="AO14" s="32">
        <f t="shared" si="2"/>
        <v>869447</v>
      </c>
      <c r="AR14" s="31">
        <v>459203</v>
      </c>
      <c r="AS14" s="31">
        <v>459203</v>
      </c>
      <c r="AT14" s="31">
        <v>36783</v>
      </c>
      <c r="AU14" s="32">
        <f t="shared" si="3"/>
        <v>955189</v>
      </c>
      <c r="AV14" s="41">
        <f t="shared" si="12"/>
        <v>1885097</v>
      </c>
      <c r="AX14" s="31">
        <v>0</v>
      </c>
      <c r="AY14" s="31">
        <v>0</v>
      </c>
      <c r="AZ14" s="31">
        <v>0</v>
      </c>
      <c r="BA14" s="20">
        <v>0</v>
      </c>
      <c r="BB14" s="31">
        <v>0</v>
      </c>
      <c r="BC14" s="31">
        <f t="shared" si="13"/>
        <v>60461</v>
      </c>
      <c r="BD14" s="35">
        <f t="shared" si="4"/>
        <v>60461</v>
      </c>
      <c r="BF14" s="42">
        <f t="shared" si="14"/>
        <v>11.399999999999999</v>
      </c>
      <c r="BG14" s="42">
        <f t="shared" si="15"/>
        <v>9.7855146292651458</v>
      </c>
      <c r="BH14" s="31">
        <f t="shared" si="16"/>
        <v>7425107.0999999996</v>
      </c>
      <c r="BI14" s="31">
        <f t="shared" si="17"/>
        <v>181383</v>
      </c>
      <c r="BJ14" s="31">
        <f t="shared" si="5"/>
        <v>29582.100000000002</v>
      </c>
      <c r="BK14" s="31">
        <f t="shared" si="6"/>
        <v>34462.769999999997</v>
      </c>
      <c r="BL14" s="31">
        <f t="shared" si="7"/>
        <v>7640952.8699999992</v>
      </c>
      <c r="BM14" s="36">
        <v>3023.05</v>
      </c>
      <c r="BN14" s="37">
        <f t="shared" si="8"/>
        <v>2456.16</v>
      </c>
      <c r="BO14" s="37">
        <f t="shared" si="9"/>
        <v>60</v>
      </c>
      <c r="BP14" s="37">
        <f t="shared" si="10"/>
        <v>11.4</v>
      </c>
      <c r="BQ14" s="37">
        <f t="shared" si="18"/>
        <v>2527.56</v>
      </c>
      <c r="BR14" s="38">
        <v>2527.6</v>
      </c>
      <c r="BS14" s="37">
        <f t="shared" si="19"/>
        <v>-3.999999999996362E-2</v>
      </c>
      <c r="BT14" s="46"/>
      <c r="BW14" s="31">
        <f t="shared" si="20"/>
        <v>120922</v>
      </c>
      <c r="BX14" s="31">
        <f t="shared" si="21"/>
        <v>60461</v>
      </c>
    </row>
    <row r="15" spans="1:76" x14ac:dyDescent="0.3">
      <c r="A15" s="47" t="s">
        <v>168</v>
      </c>
      <c r="B15" s="16" t="s">
        <v>169</v>
      </c>
      <c r="C15" s="27" t="s">
        <v>170</v>
      </c>
      <c r="D15" s="29">
        <v>46119.208518518513</v>
      </c>
      <c r="E15" s="29"/>
      <c r="F15" s="16" t="s">
        <v>122</v>
      </c>
      <c r="G15" s="16" t="s">
        <v>123</v>
      </c>
      <c r="H15" s="16" t="s">
        <v>9</v>
      </c>
      <c r="I15" s="16" t="s">
        <v>171</v>
      </c>
      <c r="J15" s="30" t="s">
        <v>125</v>
      </c>
      <c r="K15" s="16" t="s">
        <v>126</v>
      </c>
      <c r="L15" s="16">
        <f t="shared" si="0"/>
        <v>31.94</v>
      </c>
      <c r="M15" s="31">
        <v>3752984</v>
      </c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E15" s="31"/>
      <c r="AF15" s="32">
        <f t="shared" si="1"/>
        <v>3752984</v>
      </c>
      <c r="AI15" s="31">
        <v>450381</v>
      </c>
      <c r="AJ15" s="31"/>
      <c r="AK15" s="31">
        <v>91500</v>
      </c>
      <c r="AL15" s="31">
        <v>150200</v>
      </c>
      <c r="AM15" s="31"/>
      <c r="AN15" s="31"/>
      <c r="AO15" s="32">
        <f t="shared" si="2"/>
        <v>692081</v>
      </c>
      <c r="AR15" s="31">
        <v>312749</v>
      </c>
      <c r="AS15" s="31">
        <v>312748</v>
      </c>
      <c r="AT15" s="31">
        <v>33152</v>
      </c>
      <c r="AU15" s="32">
        <f t="shared" si="3"/>
        <v>658649</v>
      </c>
      <c r="AV15" s="41">
        <f t="shared" si="12"/>
        <v>1411191</v>
      </c>
      <c r="AX15" s="31">
        <v>0</v>
      </c>
      <c r="AY15" s="31">
        <v>0</v>
      </c>
      <c r="AZ15" s="31">
        <v>0</v>
      </c>
      <c r="BA15" s="20">
        <v>0</v>
      </c>
      <c r="BB15" s="31">
        <v>0</v>
      </c>
      <c r="BC15" s="31">
        <f t="shared" si="13"/>
        <v>60461</v>
      </c>
      <c r="BD15" s="35">
        <f t="shared" si="4"/>
        <v>60461</v>
      </c>
      <c r="BF15" s="28">
        <f t="shared" si="14"/>
        <v>11.399999999999999</v>
      </c>
      <c r="BG15" s="28">
        <f t="shared" si="15"/>
        <v>6.8330659433353729</v>
      </c>
      <c r="BH15" s="31">
        <f t="shared" si="16"/>
        <v>5184831.7</v>
      </c>
      <c r="BI15" s="31">
        <f t="shared" si="17"/>
        <v>181383</v>
      </c>
      <c r="BJ15" s="40">
        <f t="shared" si="5"/>
        <v>20656.7</v>
      </c>
      <c r="BK15" s="40">
        <f t="shared" si="6"/>
        <v>34462.769999999997</v>
      </c>
      <c r="BL15" s="31">
        <f t="shared" si="7"/>
        <v>5400677.4699999997</v>
      </c>
      <c r="BM15" s="36">
        <v>3023.05</v>
      </c>
      <c r="BN15" s="37">
        <f t="shared" si="8"/>
        <v>1715.1</v>
      </c>
      <c r="BO15" s="37">
        <f t="shared" si="9"/>
        <v>60</v>
      </c>
      <c r="BP15" s="37">
        <f t="shared" si="10"/>
        <v>11.4</v>
      </c>
      <c r="BQ15" s="37">
        <f t="shared" si="18"/>
        <v>1786.5</v>
      </c>
      <c r="BR15" s="38">
        <v>1786.51</v>
      </c>
      <c r="BS15" s="37">
        <f t="shared" si="19"/>
        <v>-9.9999999999909051E-3</v>
      </c>
      <c r="BT15" s="46"/>
      <c r="BW15" s="31">
        <f t="shared" si="20"/>
        <v>120922</v>
      </c>
      <c r="BX15" s="31">
        <f t="shared" si="21"/>
        <v>60461</v>
      </c>
    </row>
    <row r="16" spans="1:76" x14ac:dyDescent="0.3">
      <c r="A16" s="47" t="s">
        <v>172</v>
      </c>
      <c r="B16" s="16" t="s">
        <v>173</v>
      </c>
      <c r="C16" s="27" t="s">
        <v>174</v>
      </c>
      <c r="D16" s="29">
        <v>45881.208518518513</v>
      </c>
      <c r="E16" s="29"/>
      <c r="F16" s="16" t="s">
        <v>122</v>
      </c>
      <c r="G16" s="16" t="s">
        <v>123</v>
      </c>
      <c r="H16" s="16" t="s">
        <v>27</v>
      </c>
      <c r="I16" s="16" t="s">
        <v>175</v>
      </c>
      <c r="J16" s="30" t="s">
        <v>125</v>
      </c>
      <c r="K16" s="16" t="s">
        <v>126</v>
      </c>
      <c r="L16" s="16">
        <f t="shared" si="0"/>
        <v>31.94</v>
      </c>
      <c r="M16" s="31">
        <v>6049313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E16" s="31"/>
      <c r="AF16" s="32">
        <f t="shared" si="1"/>
        <v>6049313</v>
      </c>
      <c r="AI16" s="31">
        <v>725927</v>
      </c>
      <c r="AJ16" s="31"/>
      <c r="AK16" s="31">
        <v>147400</v>
      </c>
      <c r="AL16" s="31">
        <v>242000</v>
      </c>
      <c r="AM16" s="31"/>
      <c r="AN16" s="31"/>
      <c r="AO16" s="32">
        <f t="shared" si="2"/>
        <v>1115327</v>
      </c>
      <c r="AR16" s="31">
        <v>504109</v>
      </c>
      <c r="AS16" s="31">
        <v>504110</v>
      </c>
      <c r="AT16" s="31">
        <v>85699</v>
      </c>
      <c r="AU16" s="32">
        <f t="shared" si="3"/>
        <v>1093918</v>
      </c>
      <c r="AV16" s="41">
        <f t="shared" si="12"/>
        <v>2269706</v>
      </c>
      <c r="AX16" s="31">
        <v>0</v>
      </c>
      <c r="AY16" s="31">
        <v>0</v>
      </c>
      <c r="AZ16" s="31">
        <v>0</v>
      </c>
      <c r="BA16" s="20">
        <v>0</v>
      </c>
      <c r="BB16" s="31">
        <v>0</v>
      </c>
      <c r="BC16" s="31">
        <f t="shared" si="13"/>
        <v>60461</v>
      </c>
      <c r="BD16" s="35">
        <f t="shared" si="4"/>
        <v>60461</v>
      </c>
      <c r="BF16" s="28">
        <f t="shared" si="14"/>
        <v>11.399999999999999</v>
      </c>
      <c r="BG16" s="28">
        <f t="shared" si="15"/>
        <v>11.007451414961711</v>
      </c>
      <c r="BH16" s="31">
        <f t="shared" si="16"/>
        <v>8352295.0760000004</v>
      </c>
      <c r="BI16" s="31">
        <f t="shared" si="17"/>
        <v>181383</v>
      </c>
      <c r="BJ16" s="40">
        <f t="shared" si="5"/>
        <v>33276.076000000001</v>
      </c>
      <c r="BK16" s="40">
        <f t="shared" si="6"/>
        <v>34462.769999999997</v>
      </c>
      <c r="BL16" s="31">
        <f t="shared" si="7"/>
        <v>8568140.8460000008</v>
      </c>
      <c r="BM16" s="36">
        <v>3023.05</v>
      </c>
      <c r="BN16" s="37">
        <f t="shared" si="8"/>
        <v>2762.87</v>
      </c>
      <c r="BO16" s="37">
        <f t="shared" si="9"/>
        <v>60</v>
      </c>
      <c r="BP16" s="37">
        <f t="shared" si="10"/>
        <v>11.4</v>
      </c>
      <c r="BQ16" s="37">
        <f t="shared" si="18"/>
        <v>2834.27</v>
      </c>
      <c r="BR16" s="38">
        <v>2834.29</v>
      </c>
      <c r="BS16" s="37">
        <f t="shared" si="19"/>
        <v>-1.999999999998181E-2</v>
      </c>
      <c r="BT16" s="46"/>
      <c r="BW16" s="31">
        <f t="shared" si="20"/>
        <v>120922</v>
      </c>
      <c r="BX16" s="31">
        <f t="shared" si="21"/>
        <v>60461</v>
      </c>
    </row>
    <row r="17" spans="1:76" x14ac:dyDescent="0.3">
      <c r="A17" s="47" t="s">
        <v>176</v>
      </c>
      <c r="B17" s="16" t="s">
        <v>177</v>
      </c>
      <c r="C17" s="39" t="s">
        <v>178</v>
      </c>
      <c r="D17" s="29">
        <v>46244.208518518513</v>
      </c>
      <c r="E17" s="29"/>
      <c r="F17" s="16" t="s">
        <v>122</v>
      </c>
      <c r="G17" s="16" t="s">
        <v>123</v>
      </c>
      <c r="H17" s="16" t="s">
        <v>43</v>
      </c>
      <c r="I17" s="16" t="s">
        <v>140</v>
      </c>
      <c r="J17" s="30" t="s">
        <v>125</v>
      </c>
      <c r="K17" s="16" t="s">
        <v>126</v>
      </c>
      <c r="L17" s="16">
        <f t="shared" si="0"/>
        <v>31.94</v>
      </c>
      <c r="M17" s="31">
        <v>5000000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E17" s="31"/>
      <c r="AF17" s="32">
        <f t="shared" si="1"/>
        <v>5000000</v>
      </c>
      <c r="AI17" s="31">
        <v>600000</v>
      </c>
      <c r="AJ17" s="31"/>
      <c r="AK17" s="31">
        <v>26100</v>
      </c>
      <c r="AL17" s="31">
        <v>200000</v>
      </c>
      <c r="AM17" s="31"/>
      <c r="AN17" s="31"/>
      <c r="AO17" s="32">
        <f t="shared" si="2"/>
        <v>826100</v>
      </c>
      <c r="AR17" s="31">
        <v>416666</v>
      </c>
      <c r="AS17" s="31">
        <v>416666</v>
      </c>
      <c r="AT17" s="31">
        <v>10000</v>
      </c>
      <c r="AU17" s="32">
        <f t="shared" si="3"/>
        <v>843332</v>
      </c>
      <c r="AV17" s="41">
        <f t="shared" si="12"/>
        <v>1729893</v>
      </c>
      <c r="AX17" s="31">
        <v>0</v>
      </c>
      <c r="AY17" s="31">
        <v>0</v>
      </c>
      <c r="AZ17" s="31">
        <v>0</v>
      </c>
      <c r="BA17" s="20">
        <v>0</v>
      </c>
      <c r="BB17" s="31">
        <v>0</v>
      </c>
      <c r="BC17" s="31">
        <f t="shared" si="13"/>
        <v>60461</v>
      </c>
      <c r="BD17" s="35">
        <f t="shared" si="4"/>
        <v>60461</v>
      </c>
      <c r="BF17" s="42">
        <f t="shared" si="14"/>
        <v>11.399999999999999</v>
      </c>
      <c r="BG17" s="42">
        <f t="shared" si="15"/>
        <v>8.904772332578025</v>
      </c>
      <c r="BH17" s="31">
        <f t="shared" si="16"/>
        <v>6756812.5719999997</v>
      </c>
      <c r="BI17" s="31">
        <f t="shared" si="17"/>
        <v>181383</v>
      </c>
      <c r="BJ17" s="31">
        <f t="shared" si="5"/>
        <v>26919.572</v>
      </c>
      <c r="BK17" s="31">
        <f t="shared" si="6"/>
        <v>34462.769999999997</v>
      </c>
      <c r="BL17" s="31">
        <f t="shared" si="7"/>
        <v>6972658.3419999992</v>
      </c>
      <c r="BM17" s="36">
        <v>3023.05</v>
      </c>
      <c r="BN17" s="37">
        <f t="shared" si="8"/>
        <v>2235.1</v>
      </c>
      <c r="BO17" s="37">
        <f t="shared" si="9"/>
        <v>60</v>
      </c>
      <c r="BP17" s="37">
        <f t="shared" si="10"/>
        <v>11.4</v>
      </c>
      <c r="BQ17" s="37">
        <f t="shared" si="18"/>
        <v>2306.5</v>
      </c>
      <c r="BR17" s="38">
        <v>2306.5</v>
      </c>
      <c r="BS17" s="37">
        <f t="shared" si="19"/>
        <v>0</v>
      </c>
      <c r="BT17" s="46"/>
      <c r="BW17" s="31">
        <f t="shared" si="20"/>
        <v>120922</v>
      </c>
      <c r="BX17" s="31">
        <f t="shared" si="21"/>
        <v>60461</v>
      </c>
    </row>
    <row r="18" spans="1:76" x14ac:dyDescent="0.3">
      <c r="A18" s="47" t="s">
        <v>179</v>
      </c>
      <c r="B18" s="16" t="s">
        <v>180</v>
      </c>
      <c r="C18" s="27" t="s">
        <v>181</v>
      </c>
      <c r="D18" s="29">
        <v>46082.208518518513</v>
      </c>
      <c r="E18" s="29"/>
      <c r="F18" s="16" t="s">
        <v>122</v>
      </c>
      <c r="G18" s="16" t="s">
        <v>123</v>
      </c>
      <c r="H18" s="16" t="s">
        <v>12</v>
      </c>
      <c r="I18" s="16" t="s">
        <v>182</v>
      </c>
      <c r="J18" s="30" t="s">
        <v>125</v>
      </c>
      <c r="K18" s="16" t="s">
        <v>126</v>
      </c>
      <c r="L18" s="16">
        <f t="shared" si="0"/>
        <v>31.94</v>
      </c>
      <c r="M18" s="31">
        <v>2800000</v>
      </c>
      <c r="N18" s="31"/>
      <c r="O18" s="31"/>
      <c r="P18" s="31"/>
      <c r="Q18" s="31"/>
      <c r="R18" s="31"/>
      <c r="S18" s="31">
        <v>2600000</v>
      </c>
      <c r="T18" s="31"/>
      <c r="U18" s="40">
        <v>90000</v>
      </c>
      <c r="V18" s="31"/>
      <c r="W18" s="31"/>
      <c r="X18" s="31"/>
      <c r="Y18" s="31"/>
      <c r="Z18" s="31">
        <v>249095</v>
      </c>
      <c r="AA18" s="31"/>
      <c r="AB18" s="31"/>
      <c r="AC18" s="31"/>
      <c r="AE18" s="31"/>
      <c r="AF18" s="32">
        <f t="shared" si="1"/>
        <v>5739095</v>
      </c>
      <c r="AI18" s="31">
        <v>648000</v>
      </c>
      <c r="AJ18" s="31"/>
      <c r="AK18" s="31">
        <v>131600</v>
      </c>
      <c r="AL18" s="31">
        <v>216000</v>
      </c>
      <c r="AM18" s="31"/>
      <c r="AN18" s="31"/>
      <c r="AO18" s="32">
        <f t="shared" si="2"/>
        <v>995600</v>
      </c>
      <c r="AR18" s="31">
        <v>470758</v>
      </c>
      <c r="AS18" s="31">
        <v>470758</v>
      </c>
      <c r="AT18" s="31">
        <v>50065</v>
      </c>
      <c r="AU18" s="32">
        <f t="shared" si="3"/>
        <v>991581</v>
      </c>
      <c r="AV18" s="41">
        <f t="shared" si="12"/>
        <v>2047642</v>
      </c>
      <c r="AX18" s="31">
        <v>0</v>
      </c>
      <c r="AY18" s="31">
        <v>0</v>
      </c>
      <c r="AZ18" s="31">
        <v>0</v>
      </c>
      <c r="BA18" s="20">
        <v>0</v>
      </c>
      <c r="BB18" s="31">
        <v>0</v>
      </c>
      <c r="BC18" s="31">
        <f t="shared" si="13"/>
        <v>60461</v>
      </c>
      <c r="BD18" s="35">
        <f t="shared" si="4"/>
        <v>60461</v>
      </c>
      <c r="BF18" s="28">
        <f t="shared" si="14"/>
        <v>11.399999999999999</v>
      </c>
      <c r="BG18" s="28">
        <f t="shared" si="15"/>
        <v>10.303153437753261</v>
      </c>
      <c r="BH18" s="31">
        <f t="shared" si="16"/>
        <v>7817883.9479999999</v>
      </c>
      <c r="BI18" s="31">
        <f t="shared" si="17"/>
        <v>181383</v>
      </c>
      <c r="BJ18" s="40">
        <f t="shared" si="5"/>
        <v>31146.948</v>
      </c>
      <c r="BK18" s="40">
        <f t="shared" si="6"/>
        <v>34462.769999999997</v>
      </c>
      <c r="BL18" s="31">
        <f t="shared" si="7"/>
        <v>8033729.7179999994</v>
      </c>
      <c r="BM18" s="36">
        <v>3023.05</v>
      </c>
      <c r="BN18" s="37">
        <f t="shared" si="8"/>
        <v>2586.09</v>
      </c>
      <c r="BO18" s="37">
        <f t="shared" si="9"/>
        <v>60</v>
      </c>
      <c r="BP18" s="37">
        <f t="shared" si="10"/>
        <v>11.4</v>
      </c>
      <c r="BQ18" s="37">
        <f t="shared" si="18"/>
        <v>2657.4900000000002</v>
      </c>
      <c r="BR18" s="38">
        <v>2657.39</v>
      </c>
      <c r="BS18" s="37">
        <f t="shared" si="19"/>
        <v>0.1000000000003638</v>
      </c>
      <c r="BT18" s="46" t="s">
        <v>183</v>
      </c>
      <c r="BW18" s="31">
        <f t="shared" si="20"/>
        <v>120922</v>
      </c>
      <c r="BX18" s="31">
        <f t="shared" si="21"/>
        <v>60461</v>
      </c>
    </row>
    <row r="19" spans="1:76" x14ac:dyDescent="0.3">
      <c r="A19" s="47" t="s">
        <v>184</v>
      </c>
      <c r="B19" s="16" t="s">
        <v>185</v>
      </c>
      <c r="C19" s="39" t="s">
        <v>186</v>
      </c>
      <c r="D19" s="29">
        <v>45992.208518518513</v>
      </c>
      <c r="E19" s="29"/>
      <c r="F19" s="16" t="s">
        <v>122</v>
      </c>
      <c r="G19" s="16" t="s">
        <v>123</v>
      </c>
      <c r="H19" s="16" t="s">
        <v>15</v>
      </c>
      <c r="I19" s="16" t="s">
        <v>148</v>
      </c>
      <c r="J19" s="30" t="s">
        <v>125</v>
      </c>
      <c r="K19" s="16" t="s">
        <v>126</v>
      </c>
      <c r="L19" s="16">
        <f t="shared" si="0"/>
        <v>31.94</v>
      </c>
      <c r="M19" s="31">
        <v>3800000</v>
      </c>
      <c r="N19" s="31"/>
      <c r="O19" s="31"/>
      <c r="P19" s="31"/>
      <c r="Q19" s="31"/>
      <c r="R19" s="40">
        <v>1058571</v>
      </c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E19" s="31"/>
      <c r="AF19" s="32">
        <f t="shared" si="1"/>
        <v>4858571</v>
      </c>
      <c r="AI19" s="31">
        <v>583057</v>
      </c>
      <c r="AJ19" s="31"/>
      <c r="AK19" s="31">
        <v>25400</v>
      </c>
      <c r="AL19" s="31">
        <v>194400</v>
      </c>
      <c r="AM19" s="31"/>
      <c r="AN19" s="31"/>
      <c r="AO19" s="32">
        <f t="shared" si="2"/>
        <v>802857</v>
      </c>
      <c r="AR19" s="31">
        <v>404881</v>
      </c>
      <c r="AS19" s="31">
        <v>404881</v>
      </c>
      <c r="AT19" s="31">
        <v>65047</v>
      </c>
      <c r="AU19" s="32">
        <f t="shared" si="3"/>
        <v>874809</v>
      </c>
      <c r="AV19" s="41">
        <f t="shared" si="12"/>
        <v>1738127</v>
      </c>
      <c r="AX19" s="31">
        <v>514789</v>
      </c>
      <c r="AY19" s="31">
        <v>0</v>
      </c>
      <c r="AZ19" s="31">
        <v>0</v>
      </c>
      <c r="BA19" s="20">
        <v>0</v>
      </c>
      <c r="BB19" s="31">
        <v>0</v>
      </c>
      <c r="BC19" s="31">
        <f t="shared" si="13"/>
        <v>60461</v>
      </c>
      <c r="BD19" s="35">
        <f t="shared" si="4"/>
        <v>575250</v>
      </c>
      <c r="BF19" s="42">
        <f t="shared" si="14"/>
        <v>11.399999999999999</v>
      </c>
      <c r="BG19" s="42">
        <f t="shared" si="15"/>
        <v>9.4096849208580728</v>
      </c>
      <c r="BH19" s="31">
        <f t="shared" si="16"/>
        <v>7139932.9479999999</v>
      </c>
      <c r="BI19" s="31">
        <f t="shared" si="17"/>
        <v>181383</v>
      </c>
      <c r="BJ19" s="31">
        <f t="shared" si="5"/>
        <v>28445.948</v>
      </c>
      <c r="BK19" s="31">
        <f t="shared" si="6"/>
        <v>34462.769999999997</v>
      </c>
      <c r="BL19" s="31">
        <f t="shared" si="7"/>
        <v>7355778.7179999994</v>
      </c>
      <c r="BM19" s="36">
        <v>3023.05</v>
      </c>
      <c r="BN19" s="37">
        <f t="shared" si="8"/>
        <v>2361.83</v>
      </c>
      <c r="BO19" s="37">
        <f t="shared" si="9"/>
        <v>60</v>
      </c>
      <c r="BP19" s="37">
        <f t="shared" si="10"/>
        <v>11.4</v>
      </c>
      <c r="BQ19" s="37">
        <f t="shared" si="18"/>
        <v>2433.23</v>
      </c>
      <c r="BR19" s="38">
        <v>2433.25</v>
      </c>
      <c r="BS19" s="37">
        <f t="shared" si="19"/>
        <v>-1.999999999998181E-2</v>
      </c>
      <c r="BT19" s="46"/>
      <c r="BW19" s="31">
        <f t="shared" si="20"/>
        <v>120922</v>
      </c>
      <c r="BX19" s="31">
        <f t="shared" si="21"/>
        <v>60461</v>
      </c>
    </row>
    <row r="20" spans="1:76" x14ac:dyDescent="0.3">
      <c r="A20" s="47" t="s">
        <v>187</v>
      </c>
      <c r="B20" s="16" t="s">
        <v>188</v>
      </c>
      <c r="C20" s="27" t="s">
        <v>189</v>
      </c>
      <c r="D20" s="29">
        <v>46235.208518518513</v>
      </c>
      <c r="E20" s="29">
        <v>46507.208518518513</v>
      </c>
      <c r="F20" s="16" t="s">
        <v>122</v>
      </c>
      <c r="G20" s="16" t="s">
        <v>123</v>
      </c>
      <c r="H20" s="16" t="s">
        <v>39</v>
      </c>
      <c r="I20" s="16" t="s">
        <v>190</v>
      </c>
      <c r="J20" s="30" t="s">
        <v>125</v>
      </c>
      <c r="K20" s="16" t="s">
        <v>126</v>
      </c>
      <c r="L20" s="16">
        <f t="shared" si="0"/>
        <v>31.94</v>
      </c>
      <c r="M20" s="31">
        <v>7717500</v>
      </c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E20" s="31"/>
      <c r="AF20" s="32">
        <f t="shared" si="1"/>
        <v>7717500</v>
      </c>
      <c r="AI20" s="31">
        <v>926100</v>
      </c>
      <c r="AJ20" s="31"/>
      <c r="AK20" s="31">
        <v>40300</v>
      </c>
      <c r="AL20" s="31">
        <v>308700</v>
      </c>
      <c r="AM20" s="31"/>
      <c r="AN20" s="31"/>
      <c r="AO20" s="32">
        <f t="shared" si="2"/>
        <v>1275100</v>
      </c>
      <c r="AR20" s="31">
        <v>643125</v>
      </c>
      <c r="AS20" s="31">
        <v>643125</v>
      </c>
      <c r="AT20" s="31">
        <v>19294</v>
      </c>
      <c r="AU20" s="32">
        <f t="shared" si="3"/>
        <v>1305544</v>
      </c>
      <c r="AV20" s="41">
        <f t="shared" si="12"/>
        <v>2641105</v>
      </c>
      <c r="AX20" s="31">
        <v>0</v>
      </c>
      <c r="AY20" s="31">
        <v>0</v>
      </c>
      <c r="AZ20" s="31">
        <v>0</v>
      </c>
      <c r="BA20" s="20">
        <v>0</v>
      </c>
      <c r="BB20" s="31">
        <v>0</v>
      </c>
      <c r="BC20" s="31">
        <f t="shared" si="13"/>
        <v>60461</v>
      </c>
      <c r="BD20" s="35">
        <f t="shared" si="4"/>
        <v>60461</v>
      </c>
      <c r="BF20" s="28">
        <f t="shared" si="14"/>
        <v>11.399999999999999</v>
      </c>
      <c r="BG20" s="28">
        <f t="shared" si="15"/>
        <v>13.70616430426225</v>
      </c>
      <c r="BH20" s="31">
        <f t="shared" si="16"/>
        <v>10400039.42</v>
      </c>
      <c r="BI20" s="31">
        <f t="shared" si="17"/>
        <v>181383</v>
      </c>
      <c r="BJ20" s="40">
        <f t="shared" si="5"/>
        <v>41434.42</v>
      </c>
      <c r="BK20" s="40">
        <f t="shared" si="6"/>
        <v>34462.769999999997</v>
      </c>
      <c r="BL20" s="31">
        <f t="shared" si="7"/>
        <v>10615885.189999999</v>
      </c>
      <c r="BM20" s="36">
        <v>3023.05</v>
      </c>
      <c r="BN20" s="37">
        <f t="shared" si="8"/>
        <v>3440.25</v>
      </c>
      <c r="BO20" s="37">
        <f t="shared" si="9"/>
        <v>60</v>
      </c>
      <c r="BP20" s="37">
        <f t="shared" si="10"/>
        <v>11.4</v>
      </c>
      <c r="BQ20" s="37">
        <f t="shared" si="18"/>
        <v>3511.65</v>
      </c>
      <c r="BR20" s="38">
        <v>3511.66</v>
      </c>
      <c r="BS20" s="37">
        <f t="shared" si="19"/>
        <v>-9.9999999997635314E-3</v>
      </c>
      <c r="BT20" s="46"/>
      <c r="BW20" s="31">
        <f t="shared" si="20"/>
        <v>120922</v>
      </c>
      <c r="BX20" s="31">
        <f t="shared" si="21"/>
        <v>60461</v>
      </c>
    </row>
    <row r="21" spans="1:76" x14ac:dyDescent="0.3">
      <c r="A21" s="47" t="s">
        <v>191</v>
      </c>
      <c r="B21" s="16" t="s">
        <v>192</v>
      </c>
      <c r="C21" s="39" t="s">
        <v>193</v>
      </c>
      <c r="D21" s="29">
        <v>46204.208518518513</v>
      </c>
      <c r="E21" s="29"/>
      <c r="F21" s="16" t="s">
        <v>122</v>
      </c>
      <c r="G21" s="16" t="s">
        <v>123</v>
      </c>
      <c r="H21" s="16" t="s">
        <v>43</v>
      </c>
      <c r="I21" s="16" t="s">
        <v>140</v>
      </c>
      <c r="J21" s="30" t="s">
        <v>125</v>
      </c>
      <c r="K21" s="16" t="s">
        <v>126</v>
      </c>
      <c r="L21" s="16">
        <f t="shared" si="0"/>
        <v>31.94</v>
      </c>
      <c r="M21" s="31">
        <v>4400000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E21" s="31"/>
      <c r="AF21" s="32">
        <f t="shared" si="1"/>
        <v>4400000</v>
      </c>
      <c r="AI21" s="31">
        <v>528000</v>
      </c>
      <c r="AJ21" s="31"/>
      <c r="AK21" s="31">
        <v>23000</v>
      </c>
      <c r="AL21" s="31">
        <v>176000</v>
      </c>
      <c r="AM21" s="31"/>
      <c r="AN21" s="31"/>
      <c r="AO21" s="32">
        <f t="shared" si="2"/>
        <v>727000</v>
      </c>
      <c r="AR21" s="31">
        <v>366667</v>
      </c>
      <c r="AS21" s="31">
        <v>366667</v>
      </c>
      <c r="AT21" s="31">
        <v>18333</v>
      </c>
      <c r="AU21" s="32">
        <f t="shared" si="3"/>
        <v>751667</v>
      </c>
      <c r="AV21" s="41">
        <f t="shared" si="12"/>
        <v>1539128</v>
      </c>
      <c r="AX21" s="31">
        <v>0</v>
      </c>
      <c r="AY21" s="31">
        <v>0</v>
      </c>
      <c r="AZ21" s="31">
        <v>0</v>
      </c>
      <c r="BA21" s="20">
        <v>0</v>
      </c>
      <c r="BB21" s="31">
        <v>0</v>
      </c>
      <c r="BC21" s="31">
        <f t="shared" si="13"/>
        <v>60461</v>
      </c>
      <c r="BD21" s="35">
        <f t="shared" si="4"/>
        <v>60461</v>
      </c>
      <c r="BF21" s="42">
        <f t="shared" si="14"/>
        <v>11.399999999999999</v>
      </c>
      <c r="BG21" s="42">
        <f t="shared" si="15"/>
        <v>7.8584581796529989</v>
      </c>
      <c r="BH21" s="31">
        <f t="shared" si="16"/>
        <v>5962884.5120000001</v>
      </c>
      <c r="BI21" s="31">
        <f t="shared" si="17"/>
        <v>181383</v>
      </c>
      <c r="BJ21" s="31">
        <f t="shared" si="5"/>
        <v>23756.511999999999</v>
      </c>
      <c r="BK21" s="31">
        <f t="shared" si="6"/>
        <v>34462.769999999997</v>
      </c>
      <c r="BL21" s="31">
        <f t="shared" si="7"/>
        <v>6178730.2819999997</v>
      </c>
      <c r="BM21" s="36">
        <v>3023.05</v>
      </c>
      <c r="BN21" s="37">
        <f t="shared" si="8"/>
        <v>1972.47</v>
      </c>
      <c r="BO21" s="37">
        <f t="shared" si="9"/>
        <v>60</v>
      </c>
      <c r="BP21" s="37">
        <f t="shared" si="10"/>
        <v>11.4</v>
      </c>
      <c r="BQ21" s="37">
        <f t="shared" si="18"/>
        <v>2043.8700000000001</v>
      </c>
      <c r="BR21" s="38">
        <v>2043.89</v>
      </c>
      <c r="BS21" s="37">
        <f t="shared" si="19"/>
        <v>-1.999999999998181E-2</v>
      </c>
      <c r="BT21" s="46"/>
      <c r="BW21" s="31">
        <f t="shared" si="20"/>
        <v>120922</v>
      </c>
      <c r="BX21" s="31">
        <f t="shared" si="21"/>
        <v>60461</v>
      </c>
    </row>
    <row r="22" spans="1:76" x14ac:dyDescent="0.3">
      <c r="A22" s="47" t="s">
        <v>194</v>
      </c>
      <c r="B22" s="16" t="s">
        <v>195</v>
      </c>
      <c r="C22" s="39" t="s">
        <v>196</v>
      </c>
      <c r="D22" s="29">
        <v>46244.208518518513</v>
      </c>
      <c r="E22" s="29"/>
      <c r="F22" s="16" t="s">
        <v>122</v>
      </c>
      <c r="G22" s="16" t="s">
        <v>123</v>
      </c>
      <c r="H22" s="16" t="s">
        <v>43</v>
      </c>
      <c r="I22" s="16" t="s">
        <v>140</v>
      </c>
      <c r="J22" s="30" t="s">
        <v>125</v>
      </c>
      <c r="K22" s="16" t="s">
        <v>126</v>
      </c>
      <c r="L22" s="16">
        <f t="shared" si="0"/>
        <v>31.94</v>
      </c>
      <c r="M22" s="31">
        <v>2825000</v>
      </c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40">
        <v>249095</v>
      </c>
      <c r="AA22" s="31"/>
      <c r="AB22" s="31"/>
      <c r="AC22" s="31"/>
      <c r="AE22" s="31"/>
      <c r="AF22" s="32">
        <f t="shared" si="1"/>
        <v>3074095</v>
      </c>
      <c r="AI22" s="31">
        <v>339000</v>
      </c>
      <c r="AJ22" s="31"/>
      <c r="AK22" s="31">
        <v>14800</v>
      </c>
      <c r="AL22" s="31">
        <v>113000</v>
      </c>
      <c r="AM22" s="31"/>
      <c r="AN22" s="31"/>
      <c r="AO22" s="32">
        <f t="shared" si="2"/>
        <v>466800</v>
      </c>
      <c r="AR22" s="31">
        <v>256175</v>
      </c>
      <c r="AS22" s="31">
        <v>256175</v>
      </c>
      <c r="AT22" s="31">
        <v>6148</v>
      </c>
      <c r="AU22" s="32">
        <f t="shared" si="3"/>
        <v>518498</v>
      </c>
      <c r="AV22" s="41">
        <f t="shared" si="12"/>
        <v>1045759</v>
      </c>
      <c r="AX22" s="31">
        <v>0</v>
      </c>
      <c r="AY22" s="31">
        <v>0</v>
      </c>
      <c r="AZ22" s="31">
        <v>0</v>
      </c>
      <c r="BA22" s="20">
        <v>0</v>
      </c>
      <c r="BB22" s="31">
        <v>0</v>
      </c>
      <c r="BC22" s="31">
        <f t="shared" si="13"/>
        <v>60461</v>
      </c>
      <c r="BD22" s="35">
        <f t="shared" si="4"/>
        <v>60461</v>
      </c>
      <c r="BF22" s="42">
        <f t="shared" si="14"/>
        <v>11.399999999999999</v>
      </c>
      <c r="BG22" s="42">
        <f t="shared" si="15"/>
        <v>5.4512548585038285</v>
      </c>
      <c r="BH22" s="31">
        <f t="shared" si="16"/>
        <v>4136333.4160000002</v>
      </c>
      <c r="BI22" s="31">
        <f t="shared" si="17"/>
        <v>181383</v>
      </c>
      <c r="BJ22" s="31">
        <f t="shared" si="5"/>
        <v>16479.416000000001</v>
      </c>
      <c r="BK22" s="31">
        <f t="shared" si="6"/>
        <v>34462.769999999997</v>
      </c>
      <c r="BL22" s="31">
        <f t="shared" si="7"/>
        <v>4352179.1859999998</v>
      </c>
      <c r="BM22" s="36">
        <v>3023.05</v>
      </c>
      <c r="BN22" s="37">
        <f t="shared" si="8"/>
        <v>1368.26</v>
      </c>
      <c r="BO22" s="37">
        <f t="shared" si="9"/>
        <v>60</v>
      </c>
      <c r="BP22" s="37">
        <f t="shared" si="10"/>
        <v>11.4</v>
      </c>
      <c r="BQ22" s="37">
        <f t="shared" si="18"/>
        <v>1439.66</v>
      </c>
      <c r="BR22" s="38">
        <v>1439.67</v>
      </c>
      <c r="BS22" s="37">
        <f t="shared" si="19"/>
        <v>-9.9999999999909051E-3</v>
      </c>
      <c r="BT22" s="46"/>
      <c r="BW22" s="31">
        <f t="shared" si="20"/>
        <v>120922</v>
      </c>
      <c r="BX22" s="31">
        <f t="shared" si="21"/>
        <v>60461</v>
      </c>
    </row>
    <row r="23" spans="1:76" x14ac:dyDescent="0.3">
      <c r="A23" s="47" t="s">
        <v>197</v>
      </c>
      <c r="B23" s="16" t="s">
        <v>198</v>
      </c>
      <c r="C23" s="39" t="s">
        <v>199</v>
      </c>
      <c r="D23" s="29">
        <v>45987.208518518513</v>
      </c>
      <c r="E23" s="29">
        <v>46351.208518518513</v>
      </c>
      <c r="F23" s="16" t="s">
        <v>122</v>
      </c>
      <c r="G23" s="16" t="s">
        <v>123</v>
      </c>
      <c r="H23" s="16" t="s">
        <v>32</v>
      </c>
      <c r="I23" s="16" t="s">
        <v>156</v>
      </c>
      <c r="J23" s="30" t="s">
        <v>125</v>
      </c>
      <c r="K23" s="16" t="s">
        <v>126</v>
      </c>
      <c r="L23" s="16">
        <f t="shared" si="0"/>
        <v>31.94</v>
      </c>
      <c r="M23" s="31">
        <v>4100000</v>
      </c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E23" s="31"/>
      <c r="AF23" s="32">
        <f t="shared" si="1"/>
        <v>4100000</v>
      </c>
      <c r="AI23" s="31">
        <v>492000</v>
      </c>
      <c r="AJ23" s="31"/>
      <c r="AK23" s="31">
        <v>21500</v>
      </c>
      <c r="AL23" s="31">
        <v>164000</v>
      </c>
      <c r="AM23" s="31"/>
      <c r="AN23" s="31"/>
      <c r="AO23" s="32">
        <f t="shared" si="2"/>
        <v>677500</v>
      </c>
      <c r="AR23" s="31">
        <v>341667</v>
      </c>
      <c r="AS23" s="31">
        <v>341667</v>
      </c>
      <c r="AT23" s="31">
        <v>58083</v>
      </c>
      <c r="AU23" s="32">
        <f t="shared" si="3"/>
        <v>741417</v>
      </c>
      <c r="AV23" s="41">
        <f t="shared" si="12"/>
        <v>1479378</v>
      </c>
      <c r="AX23" s="31">
        <v>503476</v>
      </c>
      <c r="AY23" s="31">
        <v>0</v>
      </c>
      <c r="AZ23" s="31">
        <v>0</v>
      </c>
      <c r="BA23" s="20">
        <v>0</v>
      </c>
      <c r="BB23" s="31">
        <v>0</v>
      </c>
      <c r="BC23" s="31">
        <f t="shared" si="13"/>
        <v>60461</v>
      </c>
      <c r="BD23" s="35">
        <f t="shared" si="4"/>
        <v>563937</v>
      </c>
      <c r="BF23" s="42">
        <f t="shared" si="14"/>
        <v>11.399999999999999</v>
      </c>
      <c r="BG23" s="42">
        <f t="shared" si="15"/>
        <v>8.0486316799259026</v>
      </c>
      <c r="BH23" s="31">
        <f t="shared" si="16"/>
        <v>6107185.4160000002</v>
      </c>
      <c r="BI23" s="31">
        <f t="shared" si="17"/>
        <v>181383</v>
      </c>
      <c r="BJ23" s="31">
        <f t="shared" si="5"/>
        <v>24331.416000000001</v>
      </c>
      <c r="BK23" s="31">
        <f t="shared" si="6"/>
        <v>34462.769999999997</v>
      </c>
      <c r="BL23" s="31">
        <f t="shared" si="7"/>
        <v>6323031.1859999998</v>
      </c>
      <c r="BM23" s="36">
        <v>3023.05</v>
      </c>
      <c r="BN23" s="37">
        <f t="shared" si="8"/>
        <v>2020.21</v>
      </c>
      <c r="BO23" s="37">
        <f t="shared" si="9"/>
        <v>60</v>
      </c>
      <c r="BP23" s="37">
        <f t="shared" si="10"/>
        <v>11.4</v>
      </c>
      <c r="BQ23" s="37">
        <f t="shared" si="18"/>
        <v>2091.61</v>
      </c>
      <c r="BR23" s="38">
        <v>2091.62</v>
      </c>
      <c r="BS23" s="37">
        <f t="shared" si="19"/>
        <v>-9.9999999997635314E-3</v>
      </c>
      <c r="BT23" s="46"/>
      <c r="BW23" s="31">
        <f t="shared" si="20"/>
        <v>120922</v>
      </c>
      <c r="BX23" s="31">
        <f t="shared" si="21"/>
        <v>60461</v>
      </c>
    </row>
    <row r="24" spans="1:76" x14ac:dyDescent="0.3">
      <c r="A24" s="47" t="s">
        <v>200</v>
      </c>
      <c r="B24" s="16" t="s">
        <v>201</v>
      </c>
      <c r="C24" s="27" t="s">
        <v>202</v>
      </c>
      <c r="D24" s="29">
        <v>45748.208518518513</v>
      </c>
      <c r="E24" s="29"/>
      <c r="F24" s="16" t="s">
        <v>122</v>
      </c>
      <c r="G24" s="16" t="s">
        <v>123</v>
      </c>
      <c r="H24" s="16" t="s">
        <v>31</v>
      </c>
      <c r="I24" s="16" t="s">
        <v>203</v>
      </c>
      <c r="J24" s="30" t="s">
        <v>125</v>
      </c>
      <c r="K24" s="16" t="s">
        <v>126</v>
      </c>
      <c r="L24" s="16">
        <f t="shared" si="0"/>
        <v>31.94</v>
      </c>
      <c r="M24" s="31">
        <v>9000000</v>
      </c>
      <c r="N24" s="31"/>
      <c r="O24" s="31"/>
      <c r="P24" s="31"/>
      <c r="Q24" s="31"/>
      <c r="R24" s="31"/>
      <c r="S24" s="31"/>
      <c r="T24" s="31"/>
      <c r="U24" s="31">
        <v>296832</v>
      </c>
      <c r="V24" s="31"/>
      <c r="W24" s="31"/>
      <c r="X24" s="31"/>
      <c r="Y24" s="31"/>
      <c r="Z24" s="31"/>
      <c r="AA24" s="31">
        <v>657000</v>
      </c>
      <c r="AB24" s="31"/>
      <c r="AC24" s="31"/>
      <c r="AE24" s="31"/>
      <c r="AF24" s="32">
        <f t="shared" si="1"/>
        <v>9953832</v>
      </c>
      <c r="AI24" s="31">
        <v>1080000</v>
      </c>
      <c r="AJ24" s="31"/>
      <c r="AK24" s="31">
        <v>219300</v>
      </c>
      <c r="AL24" s="31">
        <v>360000</v>
      </c>
      <c r="AM24" s="31"/>
      <c r="AN24" s="31"/>
      <c r="AO24" s="32">
        <f t="shared" si="2"/>
        <v>1659300</v>
      </c>
      <c r="AR24" s="31">
        <v>750000</v>
      </c>
      <c r="AS24" s="31">
        <v>750000</v>
      </c>
      <c r="AT24" s="31">
        <v>127500</v>
      </c>
      <c r="AU24" s="32">
        <f t="shared" si="3"/>
        <v>1627500</v>
      </c>
      <c r="AV24" s="41">
        <f t="shared" si="12"/>
        <v>3347261</v>
      </c>
      <c r="AX24" s="31">
        <v>85603</v>
      </c>
      <c r="AY24" s="31">
        <v>0</v>
      </c>
      <c r="AZ24" s="31">
        <v>0</v>
      </c>
      <c r="BA24" s="20">
        <v>0</v>
      </c>
      <c r="BB24" s="31">
        <v>0</v>
      </c>
      <c r="BC24" s="31">
        <f t="shared" si="13"/>
        <v>60461</v>
      </c>
      <c r="BD24" s="35">
        <f t="shared" si="4"/>
        <v>146064</v>
      </c>
      <c r="BF24" s="28">
        <f t="shared" si="14"/>
        <v>11.399999999999999</v>
      </c>
      <c r="BG24" s="28">
        <f t="shared" si="15"/>
        <v>17.712834389110334</v>
      </c>
      <c r="BH24" s="31">
        <f t="shared" si="16"/>
        <v>13440242.784</v>
      </c>
      <c r="BI24" s="31">
        <f t="shared" si="17"/>
        <v>181383</v>
      </c>
      <c r="BJ24" s="40">
        <f t="shared" si="5"/>
        <v>53546.784</v>
      </c>
      <c r="BK24" s="40">
        <f t="shared" si="6"/>
        <v>34462.769999999997</v>
      </c>
      <c r="BL24" s="31">
        <f t="shared" si="7"/>
        <v>13656088.554</v>
      </c>
      <c r="BM24" s="36">
        <v>3023.05</v>
      </c>
      <c r="BN24" s="37">
        <f t="shared" si="8"/>
        <v>4445.92</v>
      </c>
      <c r="BO24" s="37">
        <f t="shared" si="9"/>
        <v>60</v>
      </c>
      <c r="BP24" s="37">
        <f t="shared" si="10"/>
        <v>11.4</v>
      </c>
      <c r="BQ24" s="37">
        <f t="shared" si="18"/>
        <v>4517.32</v>
      </c>
      <c r="BR24" s="38">
        <v>4517.3500000000004</v>
      </c>
      <c r="BS24" s="37">
        <f t="shared" si="19"/>
        <v>-3.0000000000654836E-2</v>
      </c>
      <c r="BT24" s="46"/>
      <c r="BW24" s="31">
        <f t="shared" si="20"/>
        <v>120922</v>
      </c>
      <c r="BX24" s="31">
        <f t="shared" si="21"/>
        <v>60461</v>
      </c>
    </row>
    <row r="25" spans="1:76" x14ac:dyDescent="0.3">
      <c r="A25" s="47" t="s">
        <v>204</v>
      </c>
      <c r="B25" s="16" t="s">
        <v>205</v>
      </c>
      <c r="C25" s="39" t="s">
        <v>206</v>
      </c>
      <c r="D25" s="29">
        <v>46188.208518518513</v>
      </c>
      <c r="E25" s="29">
        <v>46568.208518518513</v>
      </c>
      <c r="F25" s="16" t="s">
        <v>122</v>
      </c>
      <c r="G25" s="16" t="s">
        <v>123</v>
      </c>
      <c r="H25" s="16" t="s">
        <v>32</v>
      </c>
      <c r="I25" s="16" t="s">
        <v>156</v>
      </c>
      <c r="J25" s="30" t="s">
        <v>125</v>
      </c>
      <c r="K25" s="16" t="s">
        <v>126</v>
      </c>
      <c r="L25" s="16">
        <f t="shared" si="0"/>
        <v>31.94</v>
      </c>
      <c r="M25" s="31">
        <v>4100000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E25" s="31"/>
      <c r="AF25" s="32">
        <f t="shared" si="1"/>
        <v>4100000</v>
      </c>
      <c r="AI25" s="31">
        <v>492000</v>
      </c>
      <c r="AJ25" s="31"/>
      <c r="AK25" s="31">
        <v>21500</v>
      </c>
      <c r="AL25" s="31">
        <v>164000</v>
      </c>
      <c r="AM25" s="31"/>
      <c r="AN25" s="31"/>
      <c r="AO25" s="32">
        <f t="shared" si="2"/>
        <v>677500</v>
      </c>
      <c r="AR25" s="31">
        <v>341667</v>
      </c>
      <c r="AS25" s="31">
        <v>341666</v>
      </c>
      <c r="AT25" s="31">
        <v>20728</v>
      </c>
      <c r="AU25" s="32">
        <f t="shared" si="3"/>
        <v>704061</v>
      </c>
      <c r="AV25" s="41">
        <f t="shared" si="12"/>
        <v>1442022</v>
      </c>
      <c r="AX25" s="31">
        <v>1039950</v>
      </c>
      <c r="AY25" s="31">
        <v>0</v>
      </c>
      <c r="AZ25" s="31">
        <v>0</v>
      </c>
      <c r="BA25" s="20">
        <v>0</v>
      </c>
      <c r="BB25" s="31">
        <v>0</v>
      </c>
      <c r="BC25" s="31">
        <f t="shared" si="13"/>
        <v>60461</v>
      </c>
      <c r="BD25" s="35">
        <f t="shared" si="4"/>
        <v>1100411</v>
      </c>
      <c r="BF25" s="42">
        <f t="shared" si="14"/>
        <v>11.399999999999999</v>
      </c>
      <c r="BG25" s="42">
        <f t="shared" si="15"/>
        <v>8.7090481467392191</v>
      </c>
      <c r="BH25" s="31">
        <f t="shared" si="16"/>
        <v>6608299.8880000003</v>
      </c>
      <c r="BI25" s="31">
        <f t="shared" si="17"/>
        <v>181383</v>
      </c>
      <c r="BJ25" s="31">
        <f t="shared" si="5"/>
        <v>26327.887999999999</v>
      </c>
      <c r="BK25" s="31">
        <f t="shared" si="6"/>
        <v>34462.769999999997</v>
      </c>
      <c r="BL25" s="31">
        <f t="shared" si="7"/>
        <v>6824145.6579999998</v>
      </c>
      <c r="BM25" s="36">
        <v>3023.05</v>
      </c>
      <c r="BN25" s="37">
        <f t="shared" si="8"/>
        <v>2185.9699999999998</v>
      </c>
      <c r="BO25" s="37">
        <f t="shared" si="9"/>
        <v>60</v>
      </c>
      <c r="BP25" s="37">
        <f t="shared" si="10"/>
        <v>11.4</v>
      </c>
      <c r="BQ25" s="37">
        <f t="shared" si="18"/>
        <v>2257.37</v>
      </c>
      <c r="BR25" s="38">
        <v>2257.38</v>
      </c>
      <c r="BS25" s="37">
        <f t="shared" si="19"/>
        <v>-1.0000000000218279E-2</v>
      </c>
      <c r="BT25" s="46"/>
      <c r="BW25" s="31">
        <f t="shared" si="20"/>
        <v>120922</v>
      </c>
      <c r="BX25" s="31">
        <f t="shared" si="21"/>
        <v>60461</v>
      </c>
    </row>
    <row r="26" spans="1:76" x14ac:dyDescent="0.3">
      <c r="A26" s="47" t="s">
        <v>207</v>
      </c>
      <c r="B26" s="16" t="s">
        <v>208</v>
      </c>
      <c r="C26" s="27" t="s">
        <v>209</v>
      </c>
      <c r="D26" s="29">
        <v>44847.208518518513</v>
      </c>
      <c r="E26" s="29"/>
      <c r="F26" s="16" t="s">
        <v>122</v>
      </c>
      <c r="G26" s="16" t="s">
        <v>123</v>
      </c>
      <c r="H26" s="16" t="s">
        <v>5</v>
      </c>
      <c r="I26" s="16" t="s">
        <v>210</v>
      </c>
      <c r="J26" s="30" t="s">
        <v>125</v>
      </c>
      <c r="K26" s="16" t="s">
        <v>126</v>
      </c>
      <c r="L26" s="16">
        <f t="shared" si="0"/>
        <v>31.94</v>
      </c>
      <c r="M26" s="31">
        <v>36000000</v>
      </c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E26" s="31"/>
      <c r="AF26" s="32">
        <f t="shared" si="1"/>
        <v>36000000</v>
      </c>
      <c r="AI26" s="31">
        <v>3024000</v>
      </c>
      <c r="AJ26" s="31">
        <v>2142000</v>
      </c>
      <c r="AK26" s="31">
        <v>613900</v>
      </c>
      <c r="AL26" s="31">
        <v>1008000</v>
      </c>
      <c r="AM26" s="31">
        <v>504000</v>
      </c>
      <c r="AN26" s="31">
        <v>756000</v>
      </c>
      <c r="AO26" s="32">
        <f t="shared" si="2"/>
        <v>8047900</v>
      </c>
      <c r="AR26" s="31"/>
      <c r="AS26" s="31"/>
      <c r="AT26" s="31"/>
      <c r="AU26" s="32">
        <f t="shared" si="3"/>
        <v>0</v>
      </c>
      <c r="AV26" s="41">
        <f t="shared" si="12"/>
        <v>8108361</v>
      </c>
      <c r="AX26" s="31">
        <v>0</v>
      </c>
      <c r="AY26" s="31">
        <v>0</v>
      </c>
      <c r="AZ26" s="31">
        <v>0</v>
      </c>
      <c r="BA26" s="20">
        <v>0</v>
      </c>
      <c r="BB26" s="31">
        <v>0</v>
      </c>
      <c r="BC26" s="31">
        <f t="shared" si="13"/>
        <v>60461</v>
      </c>
      <c r="BD26" s="35">
        <f t="shared" si="4"/>
        <v>60461</v>
      </c>
      <c r="BF26" s="28">
        <f t="shared" si="14"/>
        <v>11.399999999999999</v>
      </c>
      <c r="BG26" s="28">
        <f t="shared" si="15"/>
        <v>58.362727708770947</v>
      </c>
      <c r="BH26" s="31">
        <f t="shared" si="16"/>
        <v>44284794.443999998</v>
      </c>
      <c r="BI26" s="31">
        <f t="shared" si="17"/>
        <v>181383</v>
      </c>
      <c r="BJ26" s="40">
        <f t="shared" si="5"/>
        <v>176433.44400000002</v>
      </c>
      <c r="BK26" s="40">
        <f t="shared" si="6"/>
        <v>34462.769999999997</v>
      </c>
      <c r="BL26" s="31">
        <f t="shared" si="7"/>
        <v>44500640.214000002</v>
      </c>
      <c r="BM26" s="36">
        <v>3023.05</v>
      </c>
      <c r="BN26" s="37">
        <f t="shared" si="8"/>
        <v>14649.04</v>
      </c>
      <c r="BO26" s="37">
        <f t="shared" si="9"/>
        <v>60</v>
      </c>
      <c r="BP26" s="37">
        <f t="shared" si="10"/>
        <v>11.4</v>
      </c>
      <c r="BQ26" s="37">
        <f t="shared" si="18"/>
        <v>14720.44</v>
      </c>
      <c r="BR26" s="38">
        <v>14720.47</v>
      </c>
      <c r="BS26" s="37">
        <f t="shared" si="19"/>
        <v>-2.9999999998835847E-2</v>
      </c>
      <c r="BT26" s="46"/>
      <c r="BW26" s="31">
        <f t="shared" si="20"/>
        <v>120922</v>
      </c>
      <c r="BX26" s="31">
        <f t="shared" si="21"/>
        <v>60461</v>
      </c>
    </row>
    <row r="27" spans="1:76" x14ac:dyDescent="0.3">
      <c r="A27" s="47" t="s">
        <v>211</v>
      </c>
      <c r="B27" s="16" t="s">
        <v>212</v>
      </c>
      <c r="C27" s="27" t="s">
        <v>213</v>
      </c>
      <c r="D27" s="29">
        <v>46070.208518518513</v>
      </c>
      <c r="E27" s="29"/>
      <c r="F27" s="16" t="s">
        <v>122</v>
      </c>
      <c r="G27" s="16" t="s">
        <v>123</v>
      </c>
      <c r="H27" s="16" t="s">
        <v>20</v>
      </c>
      <c r="I27" s="16" t="s">
        <v>214</v>
      </c>
      <c r="J27" s="30" t="s">
        <v>125</v>
      </c>
      <c r="K27" s="16" t="s">
        <v>126</v>
      </c>
      <c r="L27" s="16">
        <f t="shared" si="0"/>
        <v>31.94</v>
      </c>
      <c r="M27" s="31">
        <v>4200000</v>
      </c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>
        <v>430000</v>
      </c>
      <c r="AB27" s="31"/>
      <c r="AC27" s="31"/>
      <c r="AE27" s="31"/>
      <c r="AF27" s="32">
        <f t="shared" si="1"/>
        <v>4630000</v>
      </c>
      <c r="AI27" s="31">
        <v>504000</v>
      </c>
      <c r="AJ27" s="31"/>
      <c r="AK27" s="31">
        <v>102400</v>
      </c>
      <c r="AL27" s="31">
        <v>168000</v>
      </c>
      <c r="AM27" s="31"/>
      <c r="AN27" s="31"/>
      <c r="AO27" s="32">
        <f t="shared" si="2"/>
        <v>774400</v>
      </c>
      <c r="AR27" s="31">
        <v>350000</v>
      </c>
      <c r="AS27" s="31">
        <v>350000</v>
      </c>
      <c r="AT27" s="31">
        <v>48883</v>
      </c>
      <c r="AU27" s="32">
        <f t="shared" si="3"/>
        <v>748883</v>
      </c>
      <c r="AV27" s="41">
        <f t="shared" si="12"/>
        <v>1583744</v>
      </c>
      <c r="AX27" s="31">
        <v>289900</v>
      </c>
      <c r="AY27" s="31">
        <v>0</v>
      </c>
      <c r="AZ27" s="31">
        <v>0</v>
      </c>
      <c r="BA27" s="20">
        <v>0</v>
      </c>
      <c r="BB27" s="31">
        <v>0</v>
      </c>
      <c r="BC27" s="31">
        <f t="shared" si="13"/>
        <v>60461</v>
      </c>
      <c r="BD27" s="35">
        <f t="shared" si="4"/>
        <v>350361</v>
      </c>
      <c r="BF27" s="28">
        <f t="shared" si="14"/>
        <v>11.399999999999999</v>
      </c>
      <c r="BG27" s="28">
        <f t="shared" si="15"/>
        <v>8.6054071219463779</v>
      </c>
      <c r="BH27" s="31">
        <f t="shared" si="16"/>
        <v>6529658.5760000004</v>
      </c>
      <c r="BI27" s="31">
        <f t="shared" si="17"/>
        <v>181383</v>
      </c>
      <c r="BJ27" s="40">
        <f t="shared" si="5"/>
        <v>26014.576000000001</v>
      </c>
      <c r="BK27" s="40">
        <f t="shared" si="6"/>
        <v>34462.769999999997</v>
      </c>
      <c r="BL27" s="31">
        <f t="shared" si="7"/>
        <v>6745504.3459999999</v>
      </c>
      <c r="BM27" s="36">
        <v>3023.05</v>
      </c>
      <c r="BN27" s="37">
        <f t="shared" si="8"/>
        <v>2159.96</v>
      </c>
      <c r="BO27" s="37">
        <f t="shared" si="9"/>
        <v>60</v>
      </c>
      <c r="BP27" s="37">
        <f t="shared" si="10"/>
        <v>11.4</v>
      </c>
      <c r="BQ27" s="37">
        <f t="shared" si="18"/>
        <v>2231.36</v>
      </c>
      <c r="BR27" s="38">
        <v>2231.38</v>
      </c>
      <c r="BS27" s="37">
        <f t="shared" si="19"/>
        <v>-1.999999999998181E-2</v>
      </c>
      <c r="BT27" s="46"/>
      <c r="BW27" s="31">
        <f t="shared" si="20"/>
        <v>120922</v>
      </c>
      <c r="BX27" s="31">
        <f t="shared" si="21"/>
        <v>60461</v>
      </c>
    </row>
    <row r="28" spans="1:76" x14ac:dyDescent="0.3">
      <c r="A28" s="47" t="s">
        <v>215</v>
      </c>
      <c r="B28" s="16" t="s">
        <v>216</v>
      </c>
      <c r="C28" s="39" t="s">
        <v>52</v>
      </c>
      <c r="D28" s="29">
        <v>46272.208518518513</v>
      </c>
      <c r="E28" s="29"/>
      <c r="F28" s="16" t="s">
        <v>217</v>
      </c>
      <c r="G28" s="16" t="s">
        <v>123</v>
      </c>
      <c r="H28" s="16" t="s">
        <v>2</v>
      </c>
      <c r="I28" s="16" t="s">
        <v>218</v>
      </c>
      <c r="J28" s="30" t="s">
        <v>125</v>
      </c>
      <c r="K28" s="16" t="s">
        <v>126</v>
      </c>
      <c r="L28" s="16">
        <f t="shared" si="0"/>
        <v>31.94</v>
      </c>
      <c r="M28" s="40">
        <v>6400000</v>
      </c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E28" s="31"/>
      <c r="AF28" s="32">
        <f t="shared" si="1"/>
        <v>6400000</v>
      </c>
      <c r="AI28" s="31">
        <v>768000</v>
      </c>
      <c r="AJ28" s="31"/>
      <c r="AK28" s="31">
        <v>33500</v>
      </c>
      <c r="AL28" s="31">
        <v>256000</v>
      </c>
      <c r="AM28" s="31"/>
      <c r="AN28" s="31"/>
      <c r="AO28" s="32">
        <f t="shared" si="2"/>
        <v>1057500</v>
      </c>
      <c r="AR28" s="31">
        <v>533333</v>
      </c>
      <c r="AS28" s="31">
        <v>533333</v>
      </c>
      <c r="AT28" s="31">
        <v>4267</v>
      </c>
      <c r="AU28" s="32">
        <f t="shared" si="3"/>
        <v>1070933</v>
      </c>
      <c r="AV28" s="41">
        <f>SUM(AO28,AU28,BC28)</f>
        <v>2188894</v>
      </c>
      <c r="AX28" s="31">
        <v>0</v>
      </c>
      <c r="AY28" s="31">
        <v>0</v>
      </c>
      <c r="AZ28" s="31">
        <v>0</v>
      </c>
      <c r="BA28" s="20">
        <v>0</v>
      </c>
      <c r="BB28" s="31">
        <v>0</v>
      </c>
      <c r="BC28" s="31">
        <f t="shared" si="13"/>
        <v>60461</v>
      </c>
      <c r="BD28" s="35">
        <f t="shared" si="4"/>
        <v>60461</v>
      </c>
      <c r="BF28" s="28">
        <f t="shared" si="14"/>
        <v>11.399999999999999</v>
      </c>
      <c r="BG28" s="28">
        <f>BJ28/$BM$4</f>
        <v>11.364541109144737</v>
      </c>
      <c r="BH28" s="31">
        <f t="shared" si="16"/>
        <v>8623249.5759999994</v>
      </c>
      <c r="BI28" s="31">
        <f>60*BM28</f>
        <v>181383</v>
      </c>
      <c r="BJ28" s="40">
        <f t="shared" si="5"/>
        <v>34355.576000000001</v>
      </c>
      <c r="BK28" s="40">
        <f t="shared" si="6"/>
        <v>34462.769999999997</v>
      </c>
      <c r="BL28" s="31">
        <f t="shared" si="7"/>
        <v>8839095.345999999</v>
      </c>
      <c r="BM28" s="36">
        <v>3023.05</v>
      </c>
      <c r="BN28" s="37">
        <f t="shared" si="8"/>
        <v>2852.5</v>
      </c>
      <c r="BO28" s="37">
        <f t="shared" si="9"/>
        <v>60</v>
      </c>
      <c r="BP28" s="37">
        <f t="shared" si="10"/>
        <v>11.4</v>
      </c>
      <c r="BQ28" s="37">
        <f t="shared" si="18"/>
        <v>2923.9</v>
      </c>
      <c r="BR28" s="38">
        <v>2943.9</v>
      </c>
      <c r="BS28" s="37">
        <f t="shared" si="19"/>
        <v>-20</v>
      </c>
      <c r="BT28" s="46" t="s">
        <v>219</v>
      </c>
      <c r="BW28" s="31">
        <f t="shared" si="20"/>
        <v>120922</v>
      </c>
      <c r="BX28" s="31">
        <f t="shared" si="21"/>
        <v>60461</v>
      </c>
    </row>
    <row r="29" spans="1:76" x14ac:dyDescent="0.3">
      <c r="A29" s="47" t="s">
        <v>220</v>
      </c>
      <c r="B29" s="16" t="s">
        <v>221</v>
      </c>
      <c r="C29" s="39" t="s">
        <v>222</v>
      </c>
      <c r="D29" s="29">
        <v>46217.208518518513</v>
      </c>
      <c r="E29" s="29"/>
      <c r="F29" s="16" t="s">
        <v>122</v>
      </c>
      <c r="G29" s="16" t="s">
        <v>123</v>
      </c>
      <c r="H29" s="16" t="s">
        <v>43</v>
      </c>
      <c r="I29" s="16" t="s">
        <v>140</v>
      </c>
      <c r="J29" s="30" t="s">
        <v>125</v>
      </c>
      <c r="K29" s="16" t="s">
        <v>126</v>
      </c>
      <c r="L29" s="16">
        <f t="shared" si="0"/>
        <v>31.94</v>
      </c>
      <c r="M29" s="31">
        <v>3000000</v>
      </c>
      <c r="N29" s="31"/>
      <c r="O29" s="31"/>
      <c r="P29" s="31"/>
      <c r="Q29" s="31"/>
      <c r="R29" s="31"/>
      <c r="S29" s="31">
        <v>553554</v>
      </c>
      <c r="T29" s="31"/>
      <c r="U29" s="31"/>
      <c r="V29" s="31"/>
      <c r="W29" s="31"/>
      <c r="X29" s="31"/>
      <c r="Y29" s="31"/>
      <c r="Z29" s="40">
        <v>249095</v>
      </c>
      <c r="AA29" s="31"/>
      <c r="AB29" s="31"/>
      <c r="AC29" s="31"/>
      <c r="AE29" s="31"/>
      <c r="AF29" s="32">
        <f t="shared" si="1"/>
        <v>3802649</v>
      </c>
      <c r="AI29" s="31">
        <v>426458</v>
      </c>
      <c r="AJ29" s="31"/>
      <c r="AK29" s="31">
        <v>18600</v>
      </c>
      <c r="AL29" s="31">
        <v>142200</v>
      </c>
      <c r="AM29" s="31"/>
      <c r="AN29" s="31"/>
      <c r="AO29" s="32">
        <f t="shared" si="2"/>
        <v>587258</v>
      </c>
      <c r="AR29" s="31">
        <v>316888</v>
      </c>
      <c r="AS29" s="31">
        <v>316888</v>
      </c>
      <c r="AT29" s="31">
        <v>12375</v>
      </c>
      <c r="AU29" s="32">
        <f t="shared" si="3"/>
        <v>646151</v>
      </c>
      <c r="AV29" s="41">
        <f t="shared" si="12"/>
        <v>1293870</v>
      </c>
      <c r="AX29" s="31">
        <v>0</v>
      </c>
      <c r="AY29" s="31">
        <v>0</v>
      </c>
      <c r="AZ29" s="31">
        <v>0</v>
      </c>
      <c r="BA29" s="20">
        <v>0</v>
      </c>
      <c r="BB29" s="31">
        <v>0</v>
      </c>
      <c r="BC29" s="31">
        <f t="shared" si="13"/>
        <v>60461</v>
      </c>
      <c r="BD29" s="35">
        <f t="shared" si="4"/>
        <v>60461</v>
      </c>
      <c r="BF29" s="42">
        <f t="shared" si="14"/>
        <v>11.399999999999999</v>
      </c>
      <c r="BG29" s="42">
        <f t="shared" si="15"/>
        <v>6.7435457567688264</v>
      </c>
      <c r="BH29" s="31">
        <f t="shared" si="16"/>
        <v>5116905.0760000004</v>
      </c>
      <c r="BI29" s="31">
        <f t="shared" si="17"/>
        <v>181383</v>
      </c>
      <c r="BJ29" s="31">
        <f t="shared" si="5"/>
        <v>20386.076000000001</v>
      </c>
      <c r="BK29" s="31">
        <f t="shared" si="6"/>
        <v>34462.769999999997</v>
      </c>
      <c r="BL29" s="31">
        <f t="shared" si="7"/>
        <v>5332750.8459999999</v>
      </c>
      <c r="BM29" s="36">
        <v>3023.05</v>
      </c>
      <c r="BN29" s="37">
        <f t="shared" si="8"/>
        <v>1692.63</v>
      </c>
      <c r="BO29" s="37">
        <f t="shared" si="9"/>
        <v>60</v>
      </c>
      <c r="BP29" s="37">
        <f t="shared" si="10"/>
        <v>11.4</v>
      </c>
      <c r="BQ29" s="37">
        <f t="shared" si="18"/>
        <v>1764.0300000000002</v>
      </c>
      <c r="BR29" s="38">
        <v>1764.05</v>
      </c>
      <c r="BS29" s="37">
        <f t="shared" si="19"/>
        <v>-1.9999999999754436E-2</v>
      </c>
      <c r="BT29" s="46" t="s">
        <v>223</v>
      </c>
      <c r="BW29" s="31">
        <f t="shared" si="20"/>
        <v>120922</v>
      </c>
      <c r="BX29" s="31">
        <f t="shared" si="21"/>
        <v>60461</v>
      </c>
    </row>
    <row r="30" spans="1:76" x14ac:dyDescent="0.3">
      <c r="A30" s="47" t="s">
        <v>224</v>
      </c>
      <c r="B30" s="16" t="s">
        <v>225</v>
      </c>
      <c r="C30" s="39" t="s">
        <v>226</v>
      </c>
      <c r="D30" s="29">
        <v>45915.208518518513</v>
      </c>
      <c r="E30" s="29"/>
      <c r="F30" s="16" t="s">
        <v>122</v>
      </c>
      <c r="G30" s="16" t="s">
        <v>123</v>
      </c>
      <c r="H30" s="16" t="s">
        <v>15</v>
      </c>
      <c r="I30" s="16" t="s">
        <v>148</v>
      </c>
      <c r="J30" s="30" t="s">
        <v>125</v>
      </c>
      <c r="K30" s="16" t="s">
        <v>126</v>
      </c>
      <c r="L30" s="16">
        <f t="shared" si="0"/>
        <v>31.94</v>
      </c>
      <c r="M30" s="31">
        <v>3200000</v>
      </c>
      <c r="N30" s="31"/>
      <c r="O30" s="31"/>
      <c r="P30" s="31"/>
      <c r="Q30" s="31"/>
      <c r="R30" s="40">
        <v>463238</v>
      </c>
      <c r="S30" s="31">
        <v>81900</v>
      </c>
      <c r="T30" s="31"/>
      <c r="U30" s="31"/>
      <c r="V30" s="31"/>
      <c r="W30" s="31"/>
      <c r="X30" s="31"/>
      <c r="Y30" s="31"/>
      <c r="Z30" s="31">
        <v>240792</v>
      </c>
      <c r="AA30" s="31"/>
      <c r="AB30" s="31"/>
      <c r="AC30" s="31"/>
      <c r="AE30" s="31"/>
      <c r="AF30" s="32">
        <f t="shared" si="1"/>
        <v>3985930</v>
      </c>
      <c r="AI30" s="31">
        <v>452352</v>
      </c>
      <c r="AJ30" s="31"/>
      <c r="AK30" s="31">
        <v>19000</v>
      </c>
      <c r="AL30" s="31">
        <v>149900</v>
      </c>
      <c r="AM30" s="31"/>
      <c r="AN30" s="31"/>
      <c r="AO30" s="32">
        <f t="shared" si="2"/>
        <v>621252</v>
      </c>
      <c r="AR30" s="31">
        <v>332161</v>
      </c>
      <c r="AS30" s="31">
        <v>332160</v>
      </c>
      <c r="AT30" s="31">
        <v>56149</v>
      </c>
      <c r="AU30" s="32">
        <f t="shared" si="3"/>
        <v>720470</v>
      </c>
      <c r="AV30" s="41">
        <f t="shared" si="12"/>
        <v>1402183</v>
      </c>
      <c r="AX30" s="31">
        <v>0</v>
      </c>
      <c r="AY30" s="31">
        <v>0</v>
      </c>
      <c r="AZ30" s="31">
        <v>0</v>
      </c>
      <c r="BA30" s="20">
        <v>0</v>
      </c>
      <c r="BB30" s="31">
        <v>0</v>
      </c>
      <c r="BC30" s="31">
        <f t="shared" si="13"/>
        <v>60461</v>
      </c>
      <c r="BD30" s="35">
        <f t="shared" si="4"/>
        <v>60461</v>
      </c>
      <c r="BF30" s="42">
        <f t="shared" si="14"/>
        <v>11.399999999999999</v>
      </c>
      <c r="BG30" s="42">
        <f t="shared" si="15"/>
        <v>7.1293733150295235</v>
      </c>
      <c r="BH30" s="31">
        <f t="shared" si="16"/>
        <v>5409665.4519999996</v>
      </c>
      <c r="BI30" s="31">
        <f t="shared" si="17"/>
        <v>181383</v>
      </c>
      <c r="BJ30" s="31">
        <f t="shared" si="5"/>
        <v>21552.452000000001</v>
      </c>
      <c r="BK30" s="31">
        <f t="shared" si="6"/>
        <v>34462.769999999997</v>
      </c>
      <c r="BL30" s="31">
        <f t="shared" si="7"/>
        <v>5625511.2219999991</v>
      </c>
      <c r="BM30" s="36">
        <v>3023.05</v>
      </c>
      <c r="BN30" s="37">
        <f t="shared" si="8"/>
        <v>1789.47</v>
      </c>
      <c r="BO30" s="37">
        <f t="shared" si="9"/>
        <v>60</v>
      </c>
      <c r="BP30" s="37">
        <f t="shared" si="10"/>
        <v>11.4</v>
      </c>
      <c r="BQ30" s="37">
        <f t="shared" si="18"/>
        <v>1860.8700000000001</v>
      </c>
      <c r="BR30" s="38">
        <v>1860.91</v>
      </c>
      <c r="BS30" s="37">
        <f t="shared" si="19"/>
        <v>-3.999999999996362E-2</v>
      </c>
      <c r="BT30" s="46"/>
      <c r="BW30" s="31">
        <f t="shared" si="20"/>
        <v>120922</v>
      </c>
      <c r="BX30" s="31">
        <f t="shared" si="21"/>
        <v>60461</v>
      </c>
    </row>
    <row r="31" spans="1:76" x14ac:dyDescent="0.3">
      <c r="A31" s="47" t="s">
        <v>227</v>
      </c>
      <c r="B31" s="16" t="s">
        <v>228</v>
      </c>
      <c r="C31" s="39" t="s">
        <v>229</v>
      </c>
      <c r="D31" s="29">
        <v>46209.208518518513</v>
      </c>
      <c r="E31" s="29"/>
      <c r="F31" s="16" t="s">
        <v>122</v>
      </c>
      <c r="G31" s="16" t="s">
        <v>123</v>
      </c>
      <c r="H31" s="16" t="s">
        <v>43</v>
      </c>
      <c r="I31" s="16" t="s">
        <v>140</v>
      </c>
      <c r="J31" s="30" t="s">
        <v>125</v>
      </c>
      <c r="K31" s="16" t="s">
        <v>126</v>
      </c>
      <c r="L31" s="16">
        <f t="shared" si="0"/>
        <v>31.94</v>
      </c>
      <c r="M31" s="31">
        <v>3200000</v>
      </c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40">
        <v>249095</v>
      </c>
      <c r="AA31" s="31"/>
      <c r="AB31" s="31"/>
      <c r="AC31" s="31"/>
      <c r="AE31" s="31"/>
      <c r="AF31" s="32">
        <f t="shared" si="1"/>
        <v>3449095</v>
      </c>
      <c r="AI31" s="31">
        <v>384000</v>
      </c>
      <c r="AJ31" s="31"/>
      <c r="AK31" s="31">
        <v>16800</v>
      </c>
      <c r="AL31" s="31">
        <v>128000</v>
      </c>
      <c r="AM31" s="31"/>
      <c r="AN31" s="31"/>
      <c r="AO31" s="32">
        <f t="shared" si="2"/>
        <v>528800</v>
      </c>
      <c r="AR31" s="31">
        <v>287425</v>
      </c>
      <c r="AS31" s="31">
        <v>287425</v>
      </c>
      <c r="AT31" s="31">
        <v>13413</v>
      </c>
      <c r="AU31" s="32">
        <f t="shared" si="3"/>
        <v>588263</v>
      </c>
      <c r="AV31" s="41">
        <f t="shared" si="12"/>
        <v>1177524</v>
      </c>
      <c r="AX31" s="31">
        <v>0</v>
      </c>
      <c r="AY31" s="31">
        <v>0</v>
      </c>
      <c r="AZ31" s="31">
        <v>0</v>
      </c>
      <c r="BA31" s="20">
        <v>0</v>
      </c>
      <c r="BB31" s="31">
        <v>0</v>
      </c>
      <c r="BC31" s="31">
        <f t="shared" si="13"/>
        <v>60461</v>
      </c>
      <c r="BD31" s="35">
        <f t="shared" si="4"/>
        <v>60461</v>
      </c>
      <c r="BF31" s="42">
        <f t="shared" si="14"/>
        <v>11.399999999999999</v>
      </c>
      <c r="BG31" s="42">
        <f t="shared" si="15"/>
        <v>6.1217895833677902</v>
      </c>
      <c r="BH31" s="31">
        <f t="shared" si="16"/>
        <v>4645125.4759999998</v>
      </c>
      <c r="BI31" s="31">
        <f t="shared" si="17"/>
        <v>181383</v>
      </c>
      <c r="BJ31" s="31">
        <f t="shared" si="5"/>
        <v>18506.475999999999</v>
      </c>
      <c r="BK31" s="31">
        <f t="shared" si="6"/>
        <v>34462.769999999997</v>
      </c>
      <c r="BL31" s="31">
        <f t="shared" si="7"/>
        <v>4860971.2459999993</v>
      </c>
      <c r="BM31" s="36">
        <v>3023.05</v>
      </c>
      <c r="BN31" s="37">
        <f t="shared" si="8"/>
        <v>1536.57</v>
      </c>
      <c r="BO31" s="37">
        <f t="shared" si="9"/>
        <v>60</v>
      </c>
      <c r="BP31" s="37">
        <f t="shared" si="10"/>
        <v>11.4</v>
      </c>
      <c r="BQ31" s="37">
        <f t="shared" si="18"/>
        <v>1607.97</v>
      </c>
      <c r="BR31" s="38">
        <v>1607.98</v>
      </c>
      <c r="BS31" s="37">
        <f t="shared" si="19"/>
        <v>-9.9999999999909051E-3</v>
      </c>
      <c r="BT31" s="46"/>
      <c r="BW31" s="31">
        <f t="shared" si="20"/>
        <v>120922</v>
      </c>
      <c r="BX31" s="31">
        <f t="shared" si="21"/>
        <v>60461</v>
      </c>
    </row>
    <row r="32" spans="1:76" x14ac:dyDescent="0.3">
      <c r="A32" s="47" t="s">
        <v>230</v>
      </c>
      <c r="B32" s="16" t="s">
        <v>231</v>
      </c>
      <c r="C32" s="39" t="s">
        <v>232</v>
      </c>
      <c r="D32" s="29">
        <v>45520.208518518513</v>
      </c>
      <c r="E32" s="29"/>
      <c r="F32" s="16" t="s">
        <v>122</v>
      </c>
      <c r="G32" s="16" t="s">
        <v>123</v>
      </c>
      <c r="H32" s="16" t="s">
        <v>32</v>
      </c>
      <c r="I32" s="16" t="s">
        <v>156</v>
      </c>
      <c r="J32" s="30" t="s">
        <v>125</v>
      </c>
      <c r="K32" s="16" t="s">
        <v>126</v>
      </c>
      <c r="L32" s="16">
        <f t="shared" si="0"/>
        <v>31.94</v>
      </c>
      <c r="M32" s="40">
        <v>8053395</v>
      </c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E32" s="31"/>
      <c r="AF32" s="32">
        <f t="shared" si="1"/>
        <v>8053395</v>
      </c>
      <c r="AI32" s="31">
        <v>966464</v>
      </c>
      <c r="AJ32" s="31"/>
      <c r="AK32" s="31">
        <v>42100</v>
      </c>
      <c r="AL32" s="31">
        <v>322200</v>
      </c>
      <c r="AM32" s="31"/>
      <c r="AN32" s="31"/>
      <c r="AO32" s="32">
        <f t="shared" si="2"/>
        <v>1330764</v>
      </c>
      <c r="AR32" s="31">
        <v>671116</v>
      </c>
      <c r="AS32" s="31">
        <v>747092</v>
      </c>
      <c r="AT32" s="31">
        <v>117889</v>
      </c>
      <c r="AU32" s="32">
        <f t="shared" si="3"/>
        <v>1536097</v>
      </c>
      <c r="AV32" s="41">
        <f t="shared" si="12"/>
        <v>2927322</v>
      </c>
      <c r="AX32" s="31">
        <f>10012922</f>
        <v>10012922</v>
      </c>
      <c r="AY32" s="31">
        <v>0</v>
      </c>
      <c r="AZ32" s="40">
        <v>61500</v>
      </c>
      <c r="BA32" s="20">
        <v>0</v>
      </c>
      <c r="BB32" s="31">
        <v>0</v>
      </c>
      <c r="BC32" s="31">
        <f t="shared" si="13"/>
        <v>60461</v>
      </c>
      <c r="BD32" s="35">
        <f t="shared" si="4"/>
        <v>10134883</v>
      </c>
      <c r="BF32" s="42">
        <f t="shared" si="14"/>
        <v>11.399999999999999</v>
      </c>
      <c r="BG32" s="42">
        <f t="shared" si="15"/>
        <v>27.85946510974016</v>
      </c>
      <c r="BH32" s="31">
        <f t="shared" si="16"/>
        <v>21139359.556000002</v>
      </c>
      <c r="BI32" s="31">
        <f t="shared" si="17"/>
        <v>181383</v>
      </c>
      <c r="BJ32" s="31">
        <f t="shared" si="5"/>
        <v>84220.555999999997</v>
      </c>
      <c r="BK32" s="31">
        <f t="shared" si="6"/>
        <v>34462.769999999997</v>
      </c>
      <c r="BL32" s="31">
        <f t="shared" si="7"/>
        <v>21355205.326000001</v>
      </c>
      <c r="BM32" s="36">
        <v>3023.05</v>
      </c>
      <c r="BN32" s="37">
        <f t="shared" si="8"/>
        <v>6992.73</v>
      </c>
      <c r="BO32" s="37">
        <f t="shared" si="9"/>
        <v>60</v>
      </c>
      <c r="BP32" s="37">
        <f t="shared" si="10"/>
        <v>11.4</v>
      </c>
      <c r="BQ32" s="37">
        <f t="shared" si="18"/>
        <v>7064.1299999999992</v>
      </c>
      <c r="BR32" s="38">
        <v>7064.17</v>
      </c>
      <c r="BS32" s="37">
        <f t="shared" si="19"/>
        <v>-4.0000000000873115E-2</v>
      </c>
      <c r="BT32" s="46"/>
      <c r="BW32" s="31">
        <f t="shared" si="20"/>
        <v>120922</v>
      </c>
      <c r="BX32" s="31">
        <f t="shared" si="21"/>
        <v>60461</v>
      </c>
    </row>
    <row r="33" spans="1:76" x14ac:dyDescent="0.3">
      <c r="A33" s="47" t="s">
        <v>233</v>
      </c>
      <c r="B33" s="16" t="s">
        <v>234</v>
      </c>
      <c r="C33" s="27" t="s">
        <v>235</v>
      </c>
      <c r="D33" s="29">
        <v>46219.208518518513</v>
      </c>
      <c r="E33" s="29"/>
      <c r="F33" s="16" t="s">
        <v>122</v>
      </c>
      <c r="G33" s="16" t="s">
        <v>123</v>
      </c>
      <c r="H33" s="16" t="s">
        <v>36</v>
      </c>
      <c r="I33" s="16" t="s">
        <v>152</v>
      </c>
      <c r="J33" s="30" t="s">
        <v>125</v>
      </c>
      <c r="K33" s="16" t="s">
        <v>126</v>
      </c>
      <c r="L33" s="16">
        <f t="shared" si="0"/>
        <v>31.94</v>
      </c>
      <c r="M33" s="31">
        <v>2050600</v>
      </c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40">
        <v>249095</v>
      </c>
      <c r="AA33" s="31"/>
      <c r="AB33" s="31"/>
      <c r="AC33" s="31"/>
      <c r="AE33" s="31"/>
      <c r="AF33" s="32">
        <f t="shared" si="1"/>
        <v>2299695</v>
      </c>
      <c r="AI33" s="31">
        <v>246076</v>
      </c>
      <c r="AJ33" s="31"/>
      <c r="AK33" s="31">
        <v>10800</v>
      </c>
      <c r="AL33" s="31">
        <v>82100</v>
      </c>
      <c r="AM33" s="31"/>
      <c r="AN33" s="31"/>
      <c r="AO33" s="32">
        <f t="shared" si="2"/>
        <v>338976</v>
      </c>
      <c r="AR33" s="31">
        <v>191641</v>
      </c>
      <c r="AS33" s="31">
        <v>191641</v>
      </c>
      <c r="AT33" s="31">
        <v>7666</v>
      </c>
      <c r="AU33" s="32">
        <f t="shared" si="3"/>
        <v>390948</v>
      </c>
      <c r="AV33" s="41">
        <f t="shared" si="12"/>
        <v>790385</v>
      </c>
      <c r="AX33" s="31">
        <v>0</v>
      </c>
      <c r="AY33" s="31">
        <v>0</v>
      </c>
      <c r="AZ33" s="31">
        <v>0</v>
      </c>
      <c r="BA33" s="20">
        <v>0</v>
      </c>
      <c r="BB33" s="31">
        <v>0</v>
      </c>
      <c r="BC33" s="31">
        <f t="shared" si="13"/>
        <v>60461</v>
      </c>
      <c r="BD33" s="35">
        <f t="shared" si="4"/>
        <v>60461</v>
      </c>
      <c r="BF33" s="28">
        <f t="shared" si="14"/>
        <v>11.399999999999999</v>
      </c>
      <c r="BG33" s="28">
        <f t="shared" si="15"/>
        <v>4.0886918840244117</v>
      </c>
      <c r="BH33" s="31">
        <f t="shared" si="16"/>
        <v>3102440.32</v>
      </c>
      <c r="BI33" s="31">
        <f t="shared" si="17"/>
        <v>181383</v>
      </c>
      <c r="BJ33" s="40">
        <f t="shared" si="5"/>
        <v>12360.32</v>
      </c>
      <c r="BK33" s="40">
        <f t="shared" si="6"/>
        <v>34462.769999999997</v>
      </c>
      <c r="BL33" s="31">
        <f t="shared" si="7"/>
        <v>3318286.09</v>
      </c>
      <c r="BM33" s="36">
        <v>3023.05</v>
      </c>
      <c r="BN33" s="37">
        <f t="shared" si="8"/>
        <v>1026.26</v>
      </c>
      <c r="BO33" s="37">
        <f t="shared" si="9"/>
        <v>60</v>
      </c>
      <c r="BP33" s="37">
        <f t="shared" si="10"/>
        <v>11.4</v>
      </c>
      <c r="BQ33" s="37">
        <f t="shared" si="18"/>
        <v>1097.6600000000001</v>
      </c>
      <c r="BR33" s="38">
        <v>1097.68</v>
      </c>
      <c r="BS33" s="37">
        <f t="shared" si="19"/>
        <v>-1.999999999998181E-2</v>
      </c>
      <c r="BT33" s="46"/>
      <c r="BW33" s="31">
        <f t="shared" si="20"/>
        <v>120922</v>
      </c>
      <c r="BX33" s="31">
        <f t="shared" si="21"/>
        <v>60461</v>
      </c>
    </row>
    <row r="34" spans="1:76" x14ac:dyDescent="0.3">
      <c r="A34" s="47" t="s">
        <v>236</v>
      </c>
      <c r="B34" s="16" t="s">
        <v>237</v>
      </c>
      <c r="C34" s="27" t="s">
        <v>238</v>
      </c>
      <c r="D34" s="29">
        <v>46202.208518518513</v>
      </c>
      <c r="E34" s="29"/>
      <c r="F34" s="16" t="s">
        <v>122</v>
      </c>
      <c r="G34" s="16" t="s">
        <v>123</v>
      </c>
      <c r="H34" s="16" t="s">
        <v>38</v>
      </c>
      <c r="I34" s="16" t="s">
        <v>239</v>
      </c>
      <c r="J34" s="30" t="s">
        <v>125</v>
      </c>
      <c r="K34" s="16" t="s">
        <v>126</v>
      </c>
      <c r="L34" s="16">
        <f t="shared" si="0"/>
        <v>31.94</v>
      </c>
      <c r="M34" s="31">
        <v>6658116</v>
      </c>
      <c r="N34" s="31"/>
      <c r="O34" s="31"/>
      <c r="P34" s="31"/>
      <c r="Q34" s="31"/>
      <c r="R34" s="31"/>
      <c r="S34" s="31"/>
      <c r="T34" s="31"/>
      <c r="U34" s="40">
        <v>138624</v>
      </c>
      <c r="V34" s="31"/>
      <c r="W34" s="31"/>
      <c r="X34" s="31"/>
      <c r="Y34" s="31"/>
      <c r="Z34" s="31"/>
      <c r="AA34" s="31"/>
      <c r="AB34" s="31"/>
      <c r="AC34" s="31"/>
      <c r="AE34" s="31"/>
      <c r="AF34" s="32">
        <f t="shared" si="1"/>
        <v>6796740</v>
      </c>
      <c r="AI34" s="31">
        <v>798975</v>
      </c>
      <c r="AJ34" s="31"/>
      <c r="AK34" s="31">
        <v>34800</v>
      </c>
      <c r="AL34" s="31">
        <v>266400</v>
      </c>
      <c r="AM34" s="31"/>
      <c r="AN34" s="31"/>
      <c r="AO34" s="32">
        <f>SUM(AL34,AJ34,AN34,AK34,AM34,AI34)</f>
        <v>1100175</v>
      </c>
      <c r="AR34" s="31">
        <v>554843</v>
      </c>
      <c r="AS34" s="31">
        <v>554843</v>
      </c>
      <c r="AT34" s="31">
        <v>28482</v>
      </c>
      <c r="AU34" s="32">
        <f t="shared" si="3"/>
        <v>1138168</v>
      </c>
      <c r="AV34" s="41">
        <f t="shared" si="12"/>
        <v>2298804</v>
      </c>
      <c r="AX34" s="31">
        <v>0</v>
      </c>
      <c r="AY34" s="31">
        <v>0</v>
      </c>
      <c r="AZ34" s="31">
        <v>0</v>
      </c>
      <c r="BA34" s="20">
        <v>0</v>
      </c>
      <c r="BB34" s="31">
        <v>0</v>
      </c>
      <c r="BC34" s="31">
        <f t="shared" si="13"/>
        <v>60461</v>
      </c>
      <c r="BD34" s="35">
        <f t="shared" si="4"/>
        <v>60461</v>
      </c>
      <c r="BF34" s="28">
        <f t="shared" si="14"/>
        <v>11.399999999999999</v>
      </c>
      <c r="BG34" s="28">
        <f t="shared" si="15"/>
        <v>12.034923669803675</v>
      </c>
      <c r="BH34" s="31">
        <f t="shared" si="16"/>
        <v>9131926.1760000009</v>
      </c>
      <c r="BI34" s="31">
        <f t="shared" si="17"/>
        <v>181383</v>
      </c>
      <c r="BJ34" s="40">
        <f t="shared" si="5"/>
        <v>36382.175999999999</v>
      </c>
      <c r="BK34" s="40">
        <f t="shared" si="6"/>
        <v>34462.769999999997</v>
      </c>
      <c r="BL34" s="31">
        <f t="shared" si="7"/>
        <v>9347771.9460000005</v>
      </c>
      <c r="BM34" s="36">
        <v>3023.05</v>
      </c>
      <c r="BN34" s="37">
        <f t="shared" si="8"/>
        <v>3020.77</v>
      </c>
      <c r="BO34" s="37">
        <f t="shared" si="9"/>
        <v>60</v>
      </c>
      <c r="BP34" s="37">
        <f t="shared" si="10"/>
        <v>11.4</v>
      </c>
      <c r="BQ34" s="37">
        <f t="shared" si="18"/>
        <v>3092.17</v>
      </c>
      <c r="BR34" s="38">
        <v>3095.38</v>
      </c>
      <c r="BS34" s="37">
        <f t="shared" si="19"/>
        <v>-3.2100000000000364</v>
      </c>
      <c r="BT34" s="46" t="s">
        <v>240</v>
      </c>
      <c r="BW34" s="31">
        <f t="shared" si="20"/>
        <v>120922</v>
      </c>
      <c r="BX34" s="31">
        <f t="shared" si="21"/>
        <v>60461</v>
      </c>
    </row>
    <row r="35" spans="1:76" x14ac:dyDescent="0.3">
      <c r="A35" s="47" t="s">
        <v>241</v>
      </c>
      <c r="B35" s="16" t="s">
        <v>242</v>
      </c>
      <c r="C35" s="39" t="s">
        <v>243</v>
      </c>
      <c r="D35" s="29">
        <v>45796.208518518513</v>
      </c>
      <c r="E35" s="29"/>
      <c r="F35" s="16" t="s">
        <v>122</v>
      </c>
      <c r="G35" s="16" t="s">
        <v>123</v>
      </c>
      <c r="H35" s="16" t="s">
        <v>15</v>
      </c>
      <c r="I35" s="16" t="s">
        <v>148</v>
      </c>
      <c r="J35" s="30" t="s">
        <v>125</v>
      </c>
      <c r="K35" s="16" t="s">
        <v>126</v>
      </c>
      <c r="L35" s="16">
        <f t="shared" si="0"/>
        <v>31.94</v>
      </c>
      <c r="M35" s="31">
        <v>3500000</v>
      </c>
      <c r="N35" s="31"/>
      <c r="O35" s="31"/>
      <c r="P35" s="31"/>
      <c r="Q35" s="31"/>
      <c r="R35" s="40">
        <v>253333</v>
      </c>
      <c r="S35" s="31">
        <v>20000</v>
      </c>
      <c r="T35" s="31"/>
      <c r="U35" s="31"/>
      <c r="V35" s="31"/>
      <c r="W35" s="31"/>
      <c r="X35" s="31"/>
      <c r="Y35" s="31"/>
      <c r="Z35" s="31">
        <v>249095</v>
      </c>
      <c r="AA35" s="31"/>
      <c r="AB35" s="31"/>
      <c r="AC35" s="31"/>
      <c r="AE35" s="31"/>
      <c r="AF35" s="32">
        <f t="shared" si="1"/>
        <v>4022428</v>
      </c>
      <c r="AI35" s="31"/>
      <c r="AJ35" s="31"/>
      <c r="AK35" s="31">
        <v>19700</v>
      </c>
      <c r="AL35" s="31">
        <v>151000</v>
      </c>
      <c r="AM35" s="31"/>
      <c r="AN35" s="31"/>
      <c r="AO35" s="32">
        <f t="shared" si="2"/>
        <v>170700</v>
      </c>
      <c r="AR35" s="31">
        <v>335203</v>
      </c>
      <c r="AS35" s="31">
        <v>335202</v>
      </c>
      <c r="AT35" s="31">
        <v>58925</v>
      </c>
      <c r="AU35" s="32">
        <f t="shared" si="3"/>
        <v>729330</v>
      </c>
      <c r="AV35" s="41">
        <f t="shared" si="12"/>
        <v>960491</v>
      </c>
      <c r="AX35" s="31">
        <v>0</v>
      </c>
      <c r="AY35" s="31">
        <v>0</v>
      </c>
      <c r="AZ35" s="31">
        <v>0</v>
      </c>
      <c r="BA35" s="20">
        <v>0</v>
      </c>
      <c r="BB35" s="31">
        <v>0</v>
      </c>
      <c r="BC35" s="31">
        <f t="shared" si="13"/>
        <v>60461</v>
      </c>
      <c r="BD35" s="35">
        <f t="shared" si="4"/>
        <v>60461</v>
      </c>
      <c r="BF35" s="42">
        <f t="shared" si="14"/>
        <v>11.399999999999999</v>
      </c>
      <c r="BG35" s="42">
        <f t="shared" si="15"/>
        <v>6.5932339855443995</v>
      </c>
      <c r="BH35" s="31">
        <f t="shared" si="16"/>
        <v>5002850.676</v>
      </c>
      <c r="BI35" s="31">
        <f t="shared" si="17"/>
        <v>181383</v>
      </c>
      <c r="BJ35" s="31">
        <f t="shared" si="5"/>
        <v>19931.675999999999</v>
      </c>
      <c r="BK35" s="31">
        <f t="shared" si="6"/>
        <v>34462.769999999997</v>
      </c>
      <c r="BL35" s="31">
        <f t="shared" si="7"/>
        <v>5218696.4459999995</v>
      </c>
      <c r="BM35" s="36">
        <v>3023.05</v>
      </c>
      <c r="BN35" s="37">
        <f t="shared" si="8"/>
        <v>1654.9</v>
      </c>
      <c r="BO35" s="37">
        <f t="shared" si="9"/>
        <v>60</v>
      </c>
      <c r="BP35" s="37">
        <f t="shared" si="10"/>
        <v>11.4</v>
      </c>
      <c r="BQ35" s="37">
        <f t="shared" si="18"/>
        <v>1726.3000000000002</v>
      </c>
      <c r="BR35" s="38">
        <v>1726.33</v>
      </c>
      <c r="BS35" s="37">
        <f t="shared" si="19"/>
        <v>-2.9999999999745341E-2</v>
      </c>
      <c r="BT35" s="46"/>
      <c r="BW35" s="31">
        <f t="shared" si="20"/>
        <v>120922</v>
      </c>
      <c r="BX35" s="31">
        <f t="shared" si="21"/>
        <v>60461</v>
      </c>
    </row>
    <row r="36" spans="1:76" x14ac:dyDescent="0.3">
      <c r="A36" s="47" t="s">
        <v>244</v>
      </c>
      <c r="B36" s="16" t="s">
        <v>245</v>
      </c>
      <c r="C36" s="27" t="s">
        <v>246</v>
      </c>
      <c r="D36" s="29">
        <v>46160.208518518513</v>
      </c>
      <c r="E36" s="29"/>
      <c r="F36" s="16" t="s">
        <v>122</v>
      </c>
      <c r="G36" s="16" t="s">
        <v>123</v>
      </c>
      <c r="H36" s="16" t="s">
        <v>41</v>
      </c>
      <c r="I36" s="16" t="s">
        <v>247</v>
      </c>
      <c r="J36" s="30" t="s">
        <v>125</v>
      </c>
      <c r="K36" s="16" t="s">
        <v>126</v>
      </c>
      <c r="L36" s="16">
        <f t="shared" ref="L36:L67" si="22">IF(AL36&gt;0,31.94,14.44)</f>
        <v>31.94</v>
      </c>
      <c r="M36" s="40">
        <v>19905270</v>
      </c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E36" s="31"/>
      <c r="AF36" s="32">
        <f t="shared" ref="AF36:AF67" si="23">SUM(M36,O36,P36,Q36,R36,S36,T36,U36,V36,W36,X36,Y36,Z36,AA36,AB36,AC36,N36,AE36,AD36)</f>
        <v>19905270</v>
      </c>
      <c r="AI36" s="31">
        <v>2388689</v>
      </c>
      <c r="AJ36" s="31">
        <v>1691989</v>
      </c>
      <c r="AK36" s="31">
        <v>104000</v>
      </c>
      <c r="AL36" s="31">
        <v>796300</v>
      </c>
      <c r="AM36" s="31">
        <v>398200</v>
      </c>
      <c r="AN36" s="31">
        <v>597200</v>
      </c>
      <c r="AO36" s="32">
        <f t="shared" ref="AO36:AO67" si="24">SUM(AL36,AJ36,AN36,AK36,AM36,AI36)</f>
        <v>5976378</v>
      </c>
      <c r="AR36" s="31">
        <v>1658773</v>
      </c>
      <c r="AS36" s="31">
        <v>1658772</v>
      </c>
      <c r="AT36" s="31">
        <v>130491</v>
      </c>
      <c r="AU36" s="32">
        <f t="shared" ref="AU36:AU67" si="25">SUM(AR36,AS36,AT36)</f>
        <v>3448036</v>
      </c>
      <c r="AV36" s="41">
        <f t="shared" si="12"/>
        <v>9484875</v>
      </c>
      <c r="AX36" s="31">
        <v>0</v>
      </c>
      <c r="AY36" s="31">
        <v>0</v>
      </c>
      <c r="AZ36" s="31">
        <v>0</v>
      </c>
      <c r="BA36" s="20">
        <v>0</v>
      </c>
      <c r="BB36" s="31">
        <v>0</v>
      </c>
      <c r="BC36" s="31">
        <f t="shared" si="13"/>
        <v>60461</v>
      </c>
      <c r="BD36" s="35">
        <f t="shared" ref="BD36:BD67" si="26">SUM(AX36,AY36,AZ36,BA36,BB36,BC36,AD36)</f>
        <v>60461</v>
      </c>
      <c r="BF36" s="28">
        <f t="shared" si="14"/>
        <v>11.399999999999999</v>
      </c>
      <c r="BG36" s="28">
        <f t="shared" si="15"/>
        <v>38.888069995534309</v>
      </c>
      <c r="BH36" s="31">
        <f t="shared" ref="BH36:BH67" si="27">SUM(AF36,AO36,AU36,BD36,BJ36)</f>
        <v>29507705.579999998</v>
      </c>
      <c r="BI36" s="31">
        <f t="shared" si="17"/>
        <v>181383</v>
      </c>
      <c r="BJ36" s="40">
        <f t="shared" ref="BJ36:BJ67" si="28">(AF36+AO36+AU36+BD36)*0.004</f>
        <v>117560.58</v>
      </c>
      <c r="BK36" s="40">
        <f t="shared" ref="BK36:BK67" si="29">BI36*0.19</f>
        <v>34462.769999999997</v>
      </c>
      <c r="BL36" s="31">
        <f t="shared" ref="BL36:BL67" si="30">SUM(BH36,BI36,BK36)</f>
        <v>29723551.349999998</v>
      </c>
      <c r="BM36" s="36">
        <v>3023.05</v>
      </c>
      <c r="BN36" s="37">
        <f t="shared" ref="BN36:BN67" si="31">ROUND(BH36/BM36,2)</f>
        <v>9760.91</v>
      </c>
      <c r="BO36" s="37">
        <f t="shared" ref="BO36:BO67" si="32">ROUND(BI36/BM36,2)</f>
        <v>60</v>
      </c>
      <c r="BP36" s="37">
        <f t="shared" ref="BP36:BP67" si="33">ROUND(BK36/BM36,2)</f>
        <v>11.4</v>
      </c>
      <c r="BQ36" s="37">
        <f t="shared" ref="BQ36:BQ67" si="34">SUM(BN36,BO36,BP36)</f>
        <v>9832.31</v>
      </c>
      <c r="BR36" s="38">
        <v>9832.33</v>
      </c>
      <c r="BS36" s="37">
        <f t="shared" si="19"/>
        <v>-2.0000000000436557E-2</v>
      </c>
      <c r="BT36" s="46"/>
      <c r="BW36" s="31">
        <f t="shared" si="20"/>
        <v>120922</v>
      </c>
      <c r="BX36" s="31">
        <f t="shared" si="21"/>
        <v>60461</v>
      </c>
    </row>
    <row r="37" spans="1:76" x14ac:dyDescent="0.3">
      <c r="A37" s="47" t="s">
        <v>248</v>
      </c>
      <c r="B37" s="16" t="s">
        <v>249</v>
      </c>
      <c r="C37" s="39" t="s">
        <v>250</v>
      </c>
      <c r="D37" s="29">
        <v>46272.208518518513</v>
      </c>
      <c r="E37" s="29"/>
      <c r="F37" s="16" t="s">
        <v>217</v>
      </c>
      <c r="G37" s="16" t="s">
        <v>123</v>
      </c>
      <c r="H37" s="16" t="s">
        <v>43</v>
      </c>
      <c r="I37" s="16" t="s">
        <v>140</v>
      </c>
      <c r="J37" s="30" t="s">
        <v>125</v>
      </c>
      <c r="K37" s="16" t="s">
        <v>126</v>
      </c>
      <c r="L37" s="16">
        <f t="shared" si="22"/>
        <v>31.94</v>
      </c>
      <c r="M37" s="40">
        <v>7440000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E37" s="31"/>
      <c r="AF37" s="32">
        <f t="shared" si="23"/>
        <v>7440000</v>
      </c>
      <c r="AI37" s="31">
        <v>892800</v>
      </c>
      <c r="AJ37" s="31"/>
      <c r="AK37" s="31">
        <v>38900</v>
      </c>
      <c r="AL37" s="31">
        <v>297600</v>
      </c>
      <c r="AM37" s="31"/>
      <c r="AN37" s="31"/>
      <c r="AO37" s="32">
        <f t="shared" si="24"/>
        <v>1229300</v>
      </c>
      <c r="AR37" s="31">
        <v>620000</v>
      </c>
      <c r="AS37" s="31">
        <v>620000</v>
      </c>
      <c r="AT37" s="31">
        <v>4960</v>
      </c>
      <c r="AU37" s="32">
        <f t="shared" si="25"/>
        <v>1244960</v>
      </c>
      <c r="AV37" s="41">
        <f t="shared" si="12"/>
        <v>2534721</v>
      </c>
      <c r="AX37" s="31">
        <v>0</v>
      </c>
      <c r="AY37" s="31">
        <v>0</v>
      </c>
      <c r="AZ37" s="31">
        <v>107500</v>
      </c>
      <c r="BA37" s="20">
        <v>0</v>
      </c>
      <c r="BB37" s="31">
        <v>0</v>
      </c>
      <c r="BC37" s="31">
        <f t="shared" si="13"/>
        <v>60461</v>
      </c>
      <c r="BD37" s="35">
        <f t="shared" si="26"/>
        <v>167961</v>
      </c>
      <c r="BF37" s="42">
        <f t="shared" si="14"/>
        <v>11.399999999999999</v>
      </c>
      <c r="BG37" s="42">
        <f t="shared" si="15"/>
        <v>13.340462116074823</v>
      </c>
      <c r="BH37" s="31">
        <f t="shared" si="27"/>
        <v>10122549.884</v>
      </c>
      <c r="BI37" s="31">
        <f t="shared" si="17"/>
        <v>181383</v>
      </c>
      <c r="BJ37" s="31">
        <f t="shared" si="28"/>
        <v>40328.883999999998</v>
      </c>
      <c r="BK37" s="31">
        <f t="shared" si="29"/>
        <v>34462.769999999997</v>
      </c>
      <c r="BL37" s="31">
        <f t="shared" si="30"/>
        <v>10338395.653999999</v>
      </c>
      <c r="BM37" s="36">
        <v>3023.05</v>
      </c>
      <c r="BN37" s="37">
        <f t="shared" si="31"/>
        <v>3348.46</v>
      </c>
      <c r="BO37" s="37">
        <f t="shared" si="32"/>
        <v>60</v>
      </c>
      <c r="BP37" s="37">
        <f t="shared" si="33"/>
        <v>11.4</v>
      </c>
      <c r="BQ37" s="37">
        <f t="shared" si="34"/>
        <v>3419.86</v>
      </c>
      <c r="BR37" s="38">
        <v>3419.88</v>
      </c>
      <c r="BS37" s="37">
        <f t="shared" si="19"/>
        <v>-1.999999999998181E-2</v>
      </c>
      <c r="BT37" s="46"/>
      <c r="BW37" s="31">
        <f t="shared" si="20"/>
        <v>120922</v>
      </c>
      <c r="BX37" s="31">
        <f t="shared" si="21"/>
        <v>60461</v>
      </c>
    </row>
    <row r="38" spans="1:76" x14ac:dyDescent="0.3">
      <c r="A38" s="47" t="s">
        <v>251</v>
      </c>
      <c r="B38" s="16" t="s">
        <v>252</v>
      </c>
      <c r="C38" s="27" t="s">
        <v>253</v>
      </c>
      <c r="D38" s="29">
        <v>46153.208518518513</v>
      </c>
      <c r="E38" s="29"/>
      <c r="F38" s="16" t="s">
        <v>122</v>
      </c>
      <c r="G38" s="16" t="s">
        <v>123</v>
      </c>
      <c r="H38" s="16" t="s">
        <v>45</v>
      </c>
      <c r="I38" s="16" t="s">
        <v>254</v>
      </c>
      <c r="J38" s="30" t="s">
        <v>125</v>
      </c>
      <c r="K38" s="16" t="s">
        <v>126</v>
      </c>
      <c r="L38" s="16">
        <f t="shared" si="22"/>
        <v>31.94</v>
      </c>
      <c r="M38" s="31">
        <v>4500000</v>
      </c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E38" s="31"/>
      <c r="AF38" s="32">
        <f t="shared" si="23"/>
        <v>4500000</v>
      </c>
      <c r="AI38" s="31">
        <v>540000</v>
      </c>
      <c r="AJ38" s="31"/>
      <c r="AK38" s="31">
        <v>23500</v>
      </c>
      <c r="AL38" s="31">
        <v>180000</v>
      </c>
      <c r="AM38" s="31"/>
      <c r="AN38" s="31"/>
      <c r="AO38" s="32">
        <f t="shared" si="24"/>
        <v>743500</v>
      </c>
      <c r="AR38" s="31">
        <v>375000</v>
      </c>
      <c r="AS38" s="31">
        <v>375000</v>
      </c>
      <c r="AT38" s="31">
        <v>31250</v>
      </c>
      <c r="AU38" s="32">
        <f t="shared" si="25"/>
        <v>781250</v>
      </c>
      <c r="AV38" s="41">
        <f t="shared" si="12"/>
        <v>1585211</v>
      </c>
      <c r="AX38" s="31">
        <v>0</v>
      </c>
      <c r="AY38" s="31">
        <v>0</v>
      </c>
      <c r="AZ38" s="31">
        <v>0</v>
      </c>
      <c r="BA38" s="20">
        <v>0</v>
      </c>
      <c r="BB38" s="31">
        <v>0</v>
      </c>
      <c r="BC38" s="31">
        <f t="shared" si="13"/>
        <v>60461</v>
      </c>
      <c r="BD38" s="35">
        <f t="shared" si="26"/>
        <v>60461</v>
      </c>
      <c r="BF38" s="28">
        <f t="shared" si="14"/>
        <v>11.399999999999999</v>
      </c>
      <c r="BG38" s="28">
        <f t="shared" si="15"/>
        <v>8.051750384545409</v>
      </c>
      <c r="BH38" s="31">
        <f t="shared" si="27"/>
        <v>6109551.8439999996</v>
      </c>
      <c r="BI38" s="31">
        <f t="shared" si="17"/>
        <v>181383</v>
      </c>
      <c r="BJ38" s="40">
        <f t="shared" si="28"/>
        <v>24340.844000000001</v>
      </c>
      <c r="BK38" s="40">
        <f t="shared" si="29"/>
        <v>34462.769999999997</v>
      </c>
      <c r="BL38" s="31">
        <f t="shared" si="30"/>
        <v>6325397.6139999991</v>
      </c>
      <c r="BM38" s="36">
        <v>3023.05</v>
      </c>
      <c r="BN38" s="37">
        <f t="shared" si="31"/>
        <v>2020.99</v>
      </c>
      <c r="BO38" s="37">
        <f t="shared" si="32"/>
        <v>60</v>
      </c>
      <c r="BP38" s="37">
        <f t="shared" si="33"/>
        <v>11.4</v>
      </c>
      <c r="BQ38" s="37">
        <f t="shared" si="34"/>
        <v>2092.39</v>
      </c>
      <c r="BR38" s="38">
        <v>2092.4</v>
      </c>
      <c r="BS38" s="37">
        <f t="shared" si="19"/>
        <v>-1.0000000000218279E-2</v>
      </c>
      <c r="BT38" s="46"/>
      <c r="BW38" s="31">
        <f t="shared" si="20"/>
        <v>120922</v>
      </c>
      <c r="BX38" s="31">
        <f t="shared" si="21"/>
        <v>60461</v>
      </c>
    </row>
    <row r="39" spans="1:76" x14ac:dyDescent="0.3">
      <c r="A39" s="47" t="s">
        <v>255</v>
      </c>
      <c r="B39" s="16" t="s">
        <v>256</v>
      </c>
      <c r="C39" s="39" t="s">
        <v>257</v>
      </c>
      <c r="D39" s="29">
        <v>46190.208518518513</v>
      </c>
      <c r="E39" s="29"/>
      <c r="F39" s="16" t="s">
        <v>122</v>
      </c>
      <c r="G39" s="16" t="s">
        <v>123</v>
      </c>
      <c r="H39" s="16" t="s">
        <v>15</v>
      </c>
      <c r="I39" s="16" t="s">
        <v>148</v>
      </c>
      <c r="J39" s="30" t="s">
        <v>125</v>
      </c>
      <c r="K39" s="16" t="s">
        <v>126</v>
      </c>
      <c r="L39" s="16">
        <f t="shared" si="22"/>
        <v>31.94</v>
      </c>
      <c r="M39" s="31">
        <v>7000000</v>
      </c>
      <c r="N39" s="31"/>
      <c r="O39" s="31"/>
      <c r="P39" s="31"/>
      <c r="Q39" s="31"/>
      <c r="R39" s="40">
        <v>1013333</v>
      </c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E39" s="31"/>
      <c r="AF39" s="32">
        <f t="shared" si="23"/>
        <v>8013333</v>
      </c>
      <c r="AI39" s="31">
        <v>961667</v>
      </c>
      <c r="AJ39" s="31"/>
      <c r="AK39" s="31">
        <v>41900</v>
      </c>
      <c r="AL39" s="31">
        <v>320600</v>
      </c>
      <c r="AM39" s="31"/>
      <c r="AN39" s="31"/>
      <c r="AO39" s="32">
        <f t="shared" si="24"/>
        <v>1324167</v>
      </c>
      <c r="AR39" s="31">
        <v>667778</v>
      </c>
      <c r="AS39" s="31">
        <v>667778</v>
      </c>
      <c r="AT39" s="31">
        <v>38765</v>
      </c>
      <c r="AU39" s="32">
        <f t="shared" si="25"/>
        <v>1374321</v>
      </c>
      <c r="AV39" s="41">
        <f t="shared" si="12"/>
        <v>2758949</v>
      </c>
      <c r="AX39" s="31">
        <v>0</v>
      </c>
      <c r="AY39" s="31">
        <v>0</v>
      </c>
      <c r="AZ39" s="31">
        <v>0</v>
      </c>
      <c r="BA39" s="20">
        <v>0</v>
      </c>
      <c r="BB39" s="40">
        <v>253600</v>
      </c>
      <c r="BC39" s="31">
        <f t="shared" si="13"/>
        <v>60461</v>
      </c>
      <c r="BD39" s="35">
        <f t="shared" si="26"/>
        <v>314061</v>
      </c>
      <c r="BF39" s="42">
        <f t="shared" si="14"/>
        <v>11.399999999999999</v>
      </c>
      <c r="BG39" s="42">
        <f t="shared" si="15"/>
        <v>14.589083210664725</v>
      </c>
      <c r="BH39" s="31">
        <f t="shared" si="27"/>
        <v>11069985.528000001</v>
      </c>
      <c r="BI39" s="31">
        <f t="shared" si="17"/>
        <v>181383</v>
      </c>
      <c r="BJ39" s="31">
        <f t="shared" si="28"/>
        <v>44103.527999999998</v>
      </c>
      <c r="BK39" s="31">
        <f t="shared" si="29"/>
        <v>34462.769999999997</v>
      </c>
      <c r="BL39" s="31">
        <f t="shared" si="30"/>
        <v>11285831.298</v>
      </c>
      <c r="BM39" s="36">
        <v>3023.05</v>
      </c>
      <c r="BN39" s="37">
        <f t="shared" si="31"/>
        <v>3661.86</v>
      </c>
      <c r="BO39" s="37">
        <f t="shared" si="32"/>
        <v>60</v>
      </c>
      <c r="BP39" s="37">
        <f t="shared" si="33"/>
        <v>11.4</v>
      </c>
      <c r="BQ39" s="37">
        <f t="shared" si="34"/>
        <v>3733.26</v>
      </c>
      <c r="BR39" s="38">
        <v>3733.28</v>
      </c>
      <c r="BS39" s="37">
        <f t="shared" si="19"/>
        <v>-1.999999999998181E-2</v>
      </c>
      <c r="BT39" s="46"/>
      <c r="BW39" s="31">
        <f t="shared" si="20"/>
        <v>120922</v>
      </c>
      <c r="BX39" s="31">
        <f t="shared" si="21"/>
        <v>60461</v>
      </c>
    </row>
    <row r="40" spans="1:76" x14ac:dyDescent="0.3">
      <c r="A40" s="47" t="s">
        <v>258</v>
      </c>
      <c r="B40" s="16" t="s">
        <v>259</v>
      </c>
      <c r="C40" s="39" t="s">
        <v>260</v>
      </c>
      <c r="D40" s="29">
        <v>46224.208518518513</v>
      </c>
      <c r="E40" s="29"/>
      <c r="F40" s="16" t="s">
        <v>122</v>
      </c>
      <c r="G40" s="16" t="s">
        <v>123</v>
      </c>
      <c r="H40" s="16" t="s">
        <v>43</v>
      </c>
      <c r="I40" s="16" t="s">
        <v>140</v>
      </c>
      <c r="J40" s="30" t="s">
        <v>125</v>
      </c>
      <c r="K40" s="16" t="s">
        <v>126</v>
      </c>
      <c r="L40" s="16">
        <f t="shared" si="22"/>
        <v>31.94</v>
      </c>
      <c r="M40" s="31">
        <v>4000000</v>
      </c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E40" s="31"/>
      <c r="AF40" s="32">
        <f t="shared" si="23"/>
        <v>4000000</v>
      </c>
      <c r="AI40" s="31">
        <v>480000</v>
      </c>
      <c r="AJ40" s="31"/>
      <c r="AK40" s="31">
        <v>20900</v>
      </c>
      <c r="AL40" s="31">
        <v>160000</v>
      </c>
      <c r="AM40" s="31"/>
      <c r="AN40" s="31"/>
      <c r="AO40" s="32">
        <f t="shared" si="24"/>
        <v>660900</v>
      </c>
      <c r="AR40" s="31">
        <v>333334</v>
      </c>
      <c r="AS40" s="31">
        <v>333334</v>
      </c>
      <c r="AT40" s="31">
        <v>12222</v>
      </c>
      <c r="AU40" s="32">
        <f t="shared" si="25"/>
        <v>678890</v>
      </c>
      <c r="AV40" s="41">
        <f t="shared" si="12"/>
        <v>1400251</v>
      </c>
      <c r="AX40" s="31">
        <v>0</v>
      </c>
      <c r="AY40" s="31">
        <v>0</v>
      </c>
      <c r="AZ40" s="31">
        <v>0</v>
      </c>
      <c r="BA40" s="20">
        <v>0</v>
      </c>
      <c r="BB40" s="31">
        <v>0</v>
      </c>
      <c r="BC40" s="31">
        <f t="shared" si="13"/>
        <v>60461</v>
      </c>
      <c r="BD40" s="35">
        <f t="shared" si="26"/>
        <v>60461</v>
      </c>
      <c r="BF40" s="42">
        <f t="shared" si="14"/>
        <v>11.399999999999999</v>
      </c>
      <c r="BG40" s="42">
        <f t="shared" si="15"/>
        <v>7.1454339160781331</v>
      </c>
      <c r="BH40" s="31">
        <f t="shared" si="27"/>
        <v>5421852.0039999997</v>
      </c>
      <c r="BI40" s="31">
        <f t="shared" si="17"/>
        <v>181383</v>
      </c>
      <c r="BJ40" s="31">
        <f t="shared" si="28"/>
        <v>21601.004000000001</v>
      </c>
      <c r="BK40" s="31">
        <f t="shared" si="29"/>
        <v>34462.769999999997</v>
      </c>
      <c r="BL40" s="31">
        <f t="shared" si="30"/>
        <v>5637697.7739999993</v>
      </c>
      <c r="BM40" s="36">
        <v>3023.05</v>
      </c>
      <c r="BN40" s="37">
        <f t="shared" si="31"/>
        <v>1793.5</v>
      </c>
      <c r="BO40" s="37">
        <f t="shared" si="32"/>
        <v>60</v>
      </c>
      <c r="BP40" s="37">
        <f t="shared" si="33"/>
        <v>11.4</v>
      </c>
      <c r="BQ40" s="37">
        <f t="shared" si="34"/>
        <v>1864.9</v>
      </c>
      <c r="BR40" s="38">
        <v>1864.92</v>
      </c>
      <c r="BS40" s="37">
        <f t="shared" si="19"/>
        <v>-1.999999999998181E-2</v>
      </c>
      <c r="BT40" s="46"/>
      <c r="BW40" s="31">
        <f t="shared" si="20"/>
        <v>120922</v>
      </c>
      <c r="BX40" s="31">
        <f t="shared" si="21"/>
        <v>60461</v>
      </c>
    </row>
    <row r="41" spans="1:76" x14ac:dyDescent="0.3">
      <c r="A41" s="47" t="s">
        <v>261</v>
      </c>
      <c r="B41" s="16" t="s">
        <v>262</v>
      </c>
      <c r="C41" s="27" t="s">
        <v>263</v>
      </c>
      <c r="D41" s="29">
        <v>46065.208518518513</v>
      </c>
      <c r="E41" s="29"/>
      <c r="F41" s="16" t="s">
        <v>122</v>
      </c>
      <c r="G41" s="16" t="s">
        <v>123</v>
      </c>
      <c r="H41" s="16" t="s">
        <v>17</v>
      </c>
      <c r="I41" s="16" t="s">
        <v>264</v>
      </c>
      <c r="J41" s="30" t="s">
        <v>125</v>
      </c>
      <c r="K41" s="16" t="s">
        <v>126</v>
      </c>
      <c r="L41" s="16">
        <f t="shared" si="22"/>
        <v>31.94</v>
      </c>
      <c r="M41" s="31">
        <v>4827440</v>
      </c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E41" s="31"/>
      <c r="AF41" s="32">
        <f t="shared" si="23"/>
        <v>4827440</v>
      </c>
      <c r="AI41" s="31">
        <v>579302</v>
      </c>
      <c r="AJ41" s="31"/>
      <c r="AK41" s="31">
        <v>117600</v>
      </c>
      <c r="AL41" s="31">
        <v>193100</v>
      </c>
      <c r="AM41" s="31"/>
      <c r="AN41" s="31"/>
      <c r="AO41" s="32">
        <f t="shared" si="24"/>
        <v>890002</v>
      </c>
      <c r="AR41" s="31">
        <v>402287</v>
      </c>
      <c r="AS41" s="31">
        <v>402287</v>
      </c>
      <c r="AT41" s="31">
        <v>59673</v>
      </c>
      <c r="AU41" s="32">
        <f t="shared" si="25"/>
        <v>864247</v>
      </c>
      <c r="AV41" s="41">
        <f t="shared" si="12"/>
        <v>1814710</v>
      </c>
      <c r="AX41" s="31">
        <v>0</v>
      </c>
      <c r="AY41" s="31">
        <v>0</v>
      </c>
      <c r="AZ41" s="31">
        <v>0</v>
      </c>
      <c r="BA41" s="20">
        <v>0</v>
      </c>
      <c r="BB41" s="31">
        <v>0</v>
      </c>
      <c r="BC41" s="31">
        <f t="shared" si="13"/>
        <v>60461</v>
      </c>
      <c r="BD41" s="35">
        <f t="shared" si="26"/>
        <v>60461</v>
      </c>
      <c r="BF41" s="28">
        <f t="shared" si="14"/>
        <v>11.399999999999999</v>
      </c>
      <c r="BG41" s="28">
        <f t="shared" si="15"/>
        <v>8.7886736904781593</v>
      </c>
      <c r="BH41" s="31">
        <f t="shared" si="27"/>
        <v>6668718.5999999996</v>
      </c>
      <c r="BI41" s="31">
        <f t="shared" si="17"/>
        <v>181383</v>
      </c>
      <c r="BJ41" s="40">
        <f t="shared" si="28"/>
        <v>26568.600000000002</v>
      </c>
      <c r="BK41" s="40">
        <f t="shared" si="29"/>
        <v>34462.769999999997</v>
      </c>
      <c r="BL41" s="31">
        <f t="shared" si="30"/>
        <v>6884564.3699999992</v>
      </c>
      <c r="BM41" s="36">
        <v>3023.05</v>
      </c>
      <c r="BN41" s="37">
        <f t="shared" si="31"/>
        <v>2205.96</v>
      </c>
      <c r="BO41" s="37">
        <f t="shared" si="32"/>
        <v>60</v>
      </c>
      <c r="BP41" s="37">
        <f t="shared" si="33"/>
        <v>11.4</v>
      </c>
      <c r="BQ41" s="37">
        <f t="shared" si="34"/>
        <v>2277.36</v>
      </c>
      <c r="BR41" s="38">
        <v>2277.37</v>
      </c>
      <c r="BS41" s="37">
        <f t="shared" si="19"/>
        <v>-9.9999999997635314E-3</v>
      </c>
      <c r="BT41" s="46"/>
      <c r="BW41" s="31">
        <f t="shared" si="20"/>
        <v>120922</v>
      </c>
      <c r="BX41" s="31">
        <f t="shared" si="21"/>
        <v>60461</v>
      </c>
    </row>
    <row r="42" spans="1:76" x14ac:dyDescent="0.3">
      <c r="A42" s="47" t="s">
        <v>265</v>
      </c>
      <c r="B42" s="16" t="s">
        <v>266</v>
      </c>
      <c r="C42" s="39" t="s">
        <v>267</v>
      </c>
      <c r="D42" s="29">
        <v>45824.208518518513</v>
      </c>
      <c r="E42" s="29"/>
      <c r="F42" s="16" t="s">
        <v>122</v>
      </c>
      <c r="G42" s="16" t="s">
        <v>123</v>
      </c>
      <c r="H42" s="16" t="s">
        <v>47</v>
      </c>
      <c r="I42" s="16" t="s">
        <v>268</v>
      </c>
      <c r="J42" s="30" t="s">
        <v>125</v>
      </c>
      <c r="K42" s="16" t="s">
        <v>126</v>
      </c>
      <c r="L42" s="16">
        <f t="shared" si="22"/>
        <v>31.94</v>
      </c>
      <c r="M42" s="31">
        <v>4965125</v>
      </c>
      <c r="N42" s="31"/>
      <c r="O42" s="31"/>
      <c r="P42" s="31"/>
      <c r="Q42" s="31"/>
      <c r="R42" s="31"/>
      <c r="S42" s="31"/>
      <c r="T42" s="31"/>
      <c r="U42" s="31"/>
      <c r="V42" s="40">
        <v>926388</v>
      </c>
      <c r="W42" s="31"/>
      <c r="X42" s="31"/>
      <c r="Y42" s="31"/>
      <c r="Z42" s="31"/>
      <c r="AA42" s="31"/>
      <c r="AB42" s="31"/>
      <c r="AC42" s="31"/>
      <c r="AE42" s="31"/>
      <c r="AF42" s="32">
        <f t="shared" si="23"/>
        <v>5891513</v>
      </c>
      <c r="AI42" s="31">
        <v>595895</v>
      </c>
      <c r="AJ42" s="31"/>
      <c r="AK42" s="31">
        <v>121000</v>
      </c>
      <c r="AL42" s="31">
        <v>198700</v>
      </c>
      <c r="AM42" s="31"/>
      <c r="AN42" s="31"/>
      <c r="AO42" s="32">
        <f t="shared" si="24"/>
        <v>915595</v>
      </c>
      <c r="AR42" s="31">
        <v>413760</v>
      </c>
      <c r="AS42" s="31">
        <v>413761</v>
      </c>
      <c r="AT42" s="31">
        <v>70339</v>
      </c>
      <c r="AU42" s="32">
        <f t="shared" si="25"/>
        <v>897860</v>
      </c>
      <c r="AV42" s="34">
        <f t="shared" si="12"/>
        <v>1873916</v>
      </c>
      <c r="AX42" s="31">
        <v>0</v>
      </c>
      <c r="AY42" s="31">
        <v>466233</v>
      </c>
      <c r="AZ42" s="31">
        <v>0</v>
      </c>
      <c r="BA42" s="20">
        <v>0</v>
      </c>
      <c r="BB42" s="31">
        <v>0</v>
      </c>
      <c r="BC42" s="31">
        <f t="shared" si="13"/>
        <v>60461</v>
      </c>
      <c r="BD42" s="35">
        <f t="shared" si="26"/>
        <v>526694</v>
      </c>
      <c r="BF42" s="42">
        <f t="shared" si="14"/>
        <v>11.399999999999999</v>
      </c>
      <c r="BG42" s="42">
        <f t="shared" si="15"/>
        <v>10.891863515323928</v>
      </c>
      <c r="BH42" s="31">
        <f t="shared" si="27"/>
        <v>8264588.648</v>
      </c>
      <c r="BI42" s="31">
        <f t="shared" si="17"/>
        <v>181383</v>
      </c>
      <c r="BJ42" s="31">
        <f t="shared" si="28"/>
        <v>32926.648000000001</v>
      </c>
      <c r="BK42" s="31">
        <f t="shared" si="29"/>
        <v>34462.769999999997</v>
      </c>
      <c r="BL42" s="31">
        <f t="shared" si="30"/>
        <v>8480434.4179999996</v>
      </c>
      <c r="BM42" s="36">
        <v>3023.05</v>
      </c>
      <c r="BN42" s="37">
        <f t="shared" si="31"/>
        <v>2733.86</v>
      </c>
      <c r="BO42" s="37">
        <f t="shared" si="32"/>
        <v>60</v>
      </c>
      <c r="BP42" s="37">
        <f t="shared" si="33"/>
        <v>11.4</v>
      </c>
      <c r="BQ42" s="37">
        <f t="shared" si="34"/>
        <v>2805.26</v>
      </c>
      <c r="BR42" s="38">
        <v>2805.28</v>
      </c>
      <c r="BS42" s="37">
        <f t="shared" si="19"/>
        <v>-1.999999999998181E-2</v>
      </c>
      <c r="BT42" s="46"/>
      <c r="BW42" s="31">
        <f t="shared" si="20"/>
        <v>120922</v>
      </c>
      <c r="BX42" s="31">
        <f t="shared" si="21"/>
        <v>60461</v>
      </c>
    </row>
    <row r="43" spans="1:76" x14ac:dyDescent="0.3">
      <c r="A43" s="47" t="s">
        <v>269</v>
      </c>
      <c r="B43" s="16" t="s">
        <v>270</v>
      </c>
      <c r="C43" s="39" t="s">
        <v>271</v>
      </c>
      <c r="D43" s="29">
        <v>45748.208518518513</v>
      </c>
      <c r="E43" s="29"/>
      <c r="F43" s="16" t="s">
        <v>122</v>
      </c>
      <c r="G43" s="16" t="s">
        <v>123</v>
      </c>
      <c r="H43" s="16" t="s">
        <v>47</v>
      </c>
      <c r="I43" s="16" t="s">
        <v>268</v>
      </c>
      <c r="J43" s="30" t="s">
        <v>125</v>
      </c>
      <c r="K43" s="16" t="s">
        <v>126</v>
      </c>
      <c r="L43" s="16">
        <f t="shared" si="22"/>
        <v>31.94</v>
      </c>
      <c r="M43" s="31">
        <v>8285296</v>
      </c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E43" s="31"/>
      <c r="AF43" s="32">
        <f t="shared" si="23"/>
        <v>8285296</v>
      </c>
      <c r="AI43" s="31">
        <v>994288</v>
      </c>
      <c r="AJ43" s="31"/>
      <c r="AK43" s="31">
        <v>181700</v>
      </c>
      <c r="AL43" s="31">
        <v>331500</v>
      </c>
      <c r="AM43" s="31"/>
      <c r="AN43" s="31"/>
      <c r="AO43" s="32">
        <f t="shared" si="24"/>
        <v>1507488</v>
      </c>
      <c r="AR43" s="31">
        <v>690441</v>
      </c>
      <c r="AS43" s="31">
        <v>690441</v>
      </c>
      <c r="AT43" s="31">
        <v>117375</v>
      </c>
      <c r="AU43" s="32">
        <f t="shared" si="25"/>
        <v>1498257</v>
      </c>
      <c r="AV43" s="34">
        <f t="shared" si="12"/>
        <v>3066206</v>
      </c>
      <c r="AX43" s="31">
        <v>0</v>
      </c>
      <c r="AY43" s="31">
        <v>466233</v>
      </c>
      <c r="AZ43" s="31">
        <v>0</v>
      </c>
      <c r="BA43" s="20">
        <v>0</v>
      </c>
      <c r="BB43" s="31">
        <v>0</v>
      </c>
      <c r="BC43" s="31">
        <f t="shared" si="13"/>
        <v>60461</v>
      </c>
      <c r="BD43" s="35">
        <f t="shared" si="26"/>
        <v>526694</v>
      </c>
      <c r="BF43" s="42">
        <f t="shared" si="14"/>
        <v>11.399999999999999</v>
      </c>
      <c r="BG43" s="42">
        <f t="shared" si="15"/>
        <v>15.636836969285985</v>
      </c>
      <c r="BH43" s="31">
        <f t="shared" si="27"/>
        <v>11865005.939999999</v>
      </c>
      <c r="BI43" s="31">
        <f t="shared" si="17"/>
        <v>181383</v>
      </c>
      <c r="BJ43" s="31">
        <f t="shared" si="28"/>
        <v>47270.94</v>
      </c>
      <c r="BK43" s="31">
        <f t="shared" si="29"/>
        <v>34462.769999999997</v>
      </c>
      <c r="BL43" s="31">
        <f t="shared" si="30"/>
        <v>12080851.709999999</v>
      </c>
      <c r="BM43" s="36">
        <v>3023.05</v>
      </c>
      <c r="BN43" s="37">
        <f t="shared" si="31"/>
        <v>3924.85</v>
      </c>
      <c r="BO43" s="37">
        <f t="shared" si="32"/>
        <v>60</v>
      </c>
      <c r="BP43" s="37">
        <f t="shared" si="33"/>
        <v>11.4</v>
      </c>
      <c r="BQ43" s="37">
        <f t="shared" si="34"/>
        <v>3996.25</v>
      </c>
      <c r="BR43" s="38">
        <v>3996.26</v>
      </c>
      <c r="BS43" s="37">
        <f t="shared" si="19"/>
        <v>-1.0000000000218279E-2</v>
      </c>
      <c r="BT43" s="46"/>
      <c r="BW43" s="31">
        <f t="shared" si="20"/>
        <v>120922</v>
      </c>
      <c r="BX43" s="31">
        <f t="shared" si="21"/>
        <v>60461</v>
      </c>
    </row>
    <row r="44" spans="1:76" x14ac:dyDescent="0.3">
      <c r="A44" s="47" t="s">
        <v>272</v>
      </c>
      <c r="B44" s="16" t="s">
        <v>273</v>
      </c>
      <c r="C44" s="39" t="s">
        <v>274</v>
      </c>
      <c r="D44" s="29">
        <v>45748.208518518513</v>
      </c>
      <c r="E44" s="29"/>
      <c r="F44" s="16" t="s">
        <v>122</v>
      </c>
      <c r="G44" s="16" t="s">
        <v>123</v>
      </c>
      <c r="H44" s="16" t="s">
        <v>47</v>
      </c>
      <c r="I44" s="16" t="s">
        <v>268</v>
      </c>
      <c r="J44" s="30" t="s">
        <v>125</v>
      </c>
      <c r="K44" s="16" t="s">
        <v>126</v>
      </c>
      <c r="L44" s="16">
        <f t="shared" si="22"/>
        <v>31.94</v>
      </c>
      <c r="M44" s="31">
        <v>8285296</v>
      </c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E44" s="31"/>
      <c r="AF44" s="32">
        <f t="shared" si="23"/>
        <v>8285296</v>
      </c>
      <c r="AI44" s="31">
        <v>994288</v>
      </c>
      <c r="AJ44" s="31"/>
      <c r="AK44" s="31">
        <v>201900</v>
      </c>
      <c r="AL44" s="31">
        <v>331500</v>
      </c>
      <c r="AM44" s="31"/>
      <c r="AN44" s="31"/>
      <c r="AO44" s="32">
        <f t="shared" si="24"/>
        <v>1527688</v>
      </c>
      <c r="AR44" s="31">
        <v>690441</v>
      </c>
      <c r="AS44" s="31">
        <v>690441</v>
      </c>
      <c r="AT44" s="31">
        <v>117375</v>
      </c>
      <c r="AU44" s="32">
        <f t="shared" si="25"/>
        <v>1498257</v>
      </c>
      <c r="AV44" s="34">
        <f t="shared" si="12"/>
        <v>3086406</v>
      </c>
      <c r="AX44" s="31">
        <v>0</v>
      </c>
      <c r="AY44" s="31">
        <v>466233</v>
      </c>
      <c r="AZ44" s="31">
        <v>0</v>
      </c>
      <c r="BA44" s="20">
        <v>0</v>
      </c>
      <c r="BB44" s="31">
        <v>0</v>
      </c>
      <c r="BC44" s="31">
        <f t="shared" si="13"/>
        <v>60461</v>
      </c>
      <c r="BD44" s="35">
        <f t="shared" si="26"/>
        <v>526694</v>
      </c>
      <c r="BF44" s="42">
        <f t="shared" si="14"/>
        <v>11.399999999999999</v>
      </c>
      <c r="BG44" s="42">
        <f t="shared" si="15"/>
        <v>15.663564942690329</v>
      </c>
      <c r="BH44" s="31">
        <f t="shared" si="27"/>
        <v>11885286.74</v>
      </c>
      <c r="BI44" s="31">
        <f t="shared" si="17"/>
        <v>181383</v>
      </c>
      <c r="BJ44" s="31">
        <f t="shared" si="28"/>
        <v>47351.74</v>
      </c>
      <c r="BK44" s="31">
        <f t="shared" si="29"/>
        <v>34462.769999999997</v>
      </c>
      <c r="BL44" s="31">
        <f t="shared" si="30"/>
        <v>12101132.51</v>
      </c>
      <c r="BM44" s="36">
        <v>3023.05</v>
      </c>
      <c r="BN44" s="37">
        <f t="shared" si="31"/>
        <v>3931.55</v>
      </c>
      <c r="BO44" s="37">
        <f t="shared" si="32"/>
        <v>60</v>
      </c>
      <c r="BP44" s="37">
        <f t="shared" si="33"/>
        <v>11.4</v>
      </c>
      <c r="BQ44" s="37">
        <f t="shared" si="34"/>
        <v>4002.9500000000003</v>
      </c>
      <c r="BR44" s="38">
        <v>4002.86</v>
      </c>
      <c r="BS44" s="37">
        <f t="shared" si="19"/>
        <v>9.0000000000145519E-2</v>
      </c>
      <c r="BT44" s="46"/>
      <c r="BW44" s="31">
        <f t="shared" si="20"/>
        <v>120922</v>
      </c>
      <c r="BX44" s="31">
        <f t="shared" si="21"/>
        <v>60461</v>
      </c>
    </row>
    <row r="45" spans="1:76" x14ac:dyDescent="0.3">
      <c r="A45" s="47" t="s">
        <v>275</v>
      </c>
      <c r="B45" s="16" t="s">
        <v>276</v>
      </c>
      <c r="C45" s="39" t="s">
        <v>277</v>
      </c>
      <c r="D45" s="29">
        <v>46224.208518518513</v>
      </c>
      <c r="E45" s="29"/>
      <c r="F45" s="16" t="s">
        <v>122</v>
      </c>
      <c r="G45" s="16" t="s">
        <v>123</v>
      </c>
      <c r="H45" s="16" t="s">
        <v>43</v>
      </c>
      <c r="I45" s="16" t="s">
        <v>140</v>
      </c>
      <c r="J45" s="30" t="s">
        <v>125</v>
      </c>
      <c r="K45" s="16" t="s">
        <v>126</v>
      </c>
      <c r="L45" s="16">
        <f t="shared" si="22"/>
        <v>31.94</v>
      </c>
      <c r="M45" s="31">
        <v>2690000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40">
        <v>224185</v>
      </c>
      <c r="AA45" s="31"/>
      <c r="AB45" s="31"/>
      <c r="AC45" s="31"/>
      <c r="AE45" s="31"/>
      <c r="AF45" s="32">
        <f t="shared" si="23"/>
        <v>2914185</v>
      </c>
      <c r="AI45" s="31">
        <v>322900</v>
      </c>
      <c r="AJ45" s="31"/>
      <c r="AK45" s="31">
        <v>12700</v>
      </c>
      <c r="AL45" s="31">
        <v>107700</v>
      </c>
      <c r="AM45" s="31"/>
      <c r="AN45" s="31"/>
      <c r="AO45" s="32">
        <f t="shared" si="24"/>
        <v>443300</v>
      </c>
      <c r="AR45" s="31">
        <v>242849</v>
      </c>
      <c r="AS45" s="31">
        <v>242849</v>
      </c>
      <c r="AT45" s="31">
        <v>8932</v>
      </c>
      <c r="AU45" s="32">
        <f t="shared" si="25"/>
        <v>494630</v>
      </c>
      <c r="AV45" s="41">
        <f t="shared" si="12"/>
        <v>998391</v>
      </c>
      <c r="AX45" s="31">
        <v>0</v>
      </c>
      <c r="AY45" s="31">
        <v>0</v>
      </c>
      <c r="AZ45" s="31">
        <v>0</v>
      </c>
      <c r="BA45" s="20">
        <v>0</v>
      </c>
      <c r="BB45" s="31">
        <v>0</v>
      </c>
      <c r="BC45" s="31">
        <f t="shared" si="13"/>
        <v>60461</v>
      </c>
      <c r="BD45" s="35">
        <f t="shared" si="26"/>
        <v>60461</v>
      </c>
      <c r="BF45" s="42">
        <f t="shared" si="14"/>
        <v>11.399999999999999</v>
      </c>
      <c r="BG45" s="42">
        <f t="shared" si="15"/>
        <v>5.1769914490332605</v>
      </c>
      <c r="BH45" s="31">
        <f t="shared" si="27"/>
        <v>3928226.304</v>
      </c>
      <c r="BI45" s="31">
        <f t="shared" si="17"/>
        <v>181383</v>
      </c>
      <c r="BJ45" s="31">
        <f t="shared" si="28"/>
        <v>15650.304</v>
      </c>
      <c r="BK45" s="31">
        <f t="shared" si="29"/>
        <v>34462.769999999997</v>
      </c>
      <c r="BL45" s="31">
        <f t="shared" si="30"/>
        <v>4144072.074</v>
      </c>
      <c r="BM45" s="36">
        <v>3023.05</v>
      </c>
      <c r="BN45" s="37">
        <f t="shared" si="31"/>
        <v>1299.42</v>
      </c>
      <c r="BO45" s="37">
        <f t="shared" si="32"/>
        <v>60</v>
      </c>
      <c r="BP45" s="37">
        <f t="shared" si="33"/>
        <v>11.4</v>
      </c>
      <c r="BQ45" s="37">
        <f t="shared" si="34"/>
        <v>1370.8200000000002</v>
      </c>
      <c r="BR45" s="38">
        <v>1370.84</v>
      </c>
      <c r="BS45" s="37">
        <f t="shared" si="19"/>
        <v>-1.9999999999754436E-2</v>
      </c>
      <c r="BT45" s="46"/>
      <c r="BW45" s="31">
        <f t="shared" si="20"/>
        <v>120922</v>
      </c>
      <c r="BX45" s="31">
        <f t="shared" si="21"/>
        <v>60461</v>
      </c>
    </row>
    <row r="46" spans="1:76" x14ac:dyDescent="0.3">
      <c r="A46" s="47" t="s">
        <v>278</v>
      </c>
      <c r="B46" s="16" t="s">
        <v>279</v>
      </c>
      <c r="C46" s="39" t="s">
        <v>280</v>
      </c>
      <c r="D46" s="29">
        <v>46132.208518518513</v>
      </c>
      <c r="E46" s="29"/>
      <c r="F46" s="16" t="s">
        <v>122</v>
      </c>
      <c r="G46" s="16" t="s">
        <v>123</v>
      </c>
      <c r="H46" s="16" t="s">
        <v>43</v>
      </c>
      <c r="I46" s="16" t="s">
        <v>140</v>
      </c>
      <c r="J46" s="30" t="s">
        <v>125</v>
      </c>
      <c r="K46" s="16" t="s">
        <v>126</v>
      </c>
      <c r="L46" s="16">
        <f t="shared" si="22"/>
        <v>31.94</v>
      </c>
      <c r="M46" s="31">
        <v>3200000</v>
      </c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>
        <v>249095</v>
      </c>
      <c r="AA46" s="31"/>
      <c r="AB46" s="31"/>
      <c r="AC46" s="31"/>
      <c r="AE46" s="31"/>
      <c r="AF46" s="32">
        <f t="shared" si="23"/>
        <v>3449095</v>
      </c>
      <c r="AI46" s="31">
        <v>384000</v>
      </c>
      <c r="AJ46" s="31"/>
      <c r="AK46" s="31">
        <v>16800</v>
      </c>
      <c r="AL46" s="31">
        <v>128000</v>
      </c>
      <c r="AM46" s="31"/>
      <c r="AN46" s="31"/>
      <c r="AO46" s="32">
        <f t="shared" si="24"/>
        <v>528800</v>
      </c>
      <c r="AR46" s="31">
        <v>287425</v>
      </c>
      <c r="AS46" s="31">
        <v>287425</v>
      </c>
      <c r="AT46" s="31">
        <v>27976</v>
      </c>
      <c r="AU46" s="32">
        <f t="shared" si="25"/>
        <v>602826</v>
      </c>
      <c r="AV46" s="41">
        <f t="shared" si="12"/>
        <v>1192087</v>
      </c>
      <c r="AX46" s="31">
        <v>0</v>
      </c>
      <c r="AY46" s="31">
        <v>0</v>
      </c>
      <c r="AZ46" s="31">
        <v>0</v>
      </c>
      <c r="BA46" s="20">
        <v>0</v>
      </c>
      <c r="BB46" s="31">
        <v>0</v>
      </c>
      <c r="BC46" s="31">
        <f t="shared" si="13"/>
        <v>60461</v>
      </c>
      <c r="BD46" s="35">
        <f t="shared" si="26"/>
        <v>60461</v>
      </c>
      <c r="BF46" s="42">
        <f t="shared" si="14"/>
        <v>11.399999999999999</v>
      </c>
      <c r="BG46" s="42">
        <f t="shared" si="15"/>
        <v>6.1410588643919217</v>
      </c>
      <c r="BH46" s="31">
        <f t="shared" si="27"/>
        <v>4659746.7280000001</v>
      </c>
      <c r="BI46" s="31">
        <f t="shared" si="17"/>
        <v>181383</v>
      </c>
      <c r="BJ46" s="31">
        <f t="shared" si="28"/>
        <v>18564.727999999999</v>
      </c>
      <c r="BK46" s="31">
        <f t="shared" si="29"/>
        <v>34462.769999999997</v>
      </c>
      <c r="BL46" s="31">
        <f t="shared" si="30"/>
        <v>4875592.4979999997</v>
      </c>
      <c r="BM46" s="36">
        <v>3023.05</v>
      </c>
      <c r="BN46" s="37">
        <f t="shared" si="31"/>
        <v>1541.41</v>
      </c>
      <c r="BO46" s="37">
        <f t="shared" si="32"/>
        <v>60</v>
      </c>
      <c r="BP46" s="37">
        <f t="shared" si="33"/>
        <v>11.4</v>
      </c>
      <c r="BQ46" s="37">
        <f t="shared" si="34"/>
        <v>1612.8100000000002</v>
      </c>
      <c r="BR46" s="38">
        <v>1612.82</v>
      </c>
      <c r="BS46" s="37">
        <f t="shared" si="19"/>
        <v>-9.9999999997635314E-3</v>
      </c>
      <c r="BT46" s="46"/>
      <c r="BW46" s="31">
        <f t="shared" si="20"/>
        <v>120922</v>
      </c>
      <c r="BX46" s="31">
        <f t="shared" si="21"/>
        <v>60461</v>
      </c>
    </row>
    <row r="47" spans="1:76" x14ac:dyDescent="0.3">
      <c r="A47" s="47" t="s">
        <v>281</v>
      </c>
      <c r="B47" s="16" t="s">
        <v>282</v>
      </c>
      <c r="C47" s="39" t="s">
        <v>283</v>
      </c>
      <c r="D47" s="29">
        <v>46258.208518518513</v>
      </c>
      <c r="E47" s="29"/>
      <c r="F47" s="16" t="s">
        <v>122</v>
      </c>
      <c r="G47" s="16" t="s">
        <v>123</v>
      </c>
      <c r="H47" s="16" t="s">
        <v>15</v>
      </c>
      <c r="I47" s="16" t="s">
        <v>148</v>
      </c>
      <c r="J47" s="30" t="s">
        <v>125</v>
      </c>
      <c r="K47" s="16" t="s">
        <v>126</v>
      </c>
      <c r="L47" s="16">
        <f t="shared" si="22"/>
        <v>31.94</v>
      </c>
      <c r="M47" s="31">
        <v>3510000</v>
      </c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E47" s="31"/>
      <c r="AF47" s="32">
        <f t="shared" si="23"/>
        <v>3510000</v>
      </c>
      <c r="AI47" s="31">
        <v>421200</v>
      </c>
      <c r="AJ47" s="31"/>
      <c r="AK47" s="31">
        <v>18400</v>
      </c>
      <c r="AL47" s="31">
        <v>140400</v>
      </c>
      <c r="AM47" s="31"/>
      <c r="AN47" s="31"/>
      <c r="AO47" s="32">
        <f t="shared" si="24"/>
        <v>580000</v>
      </c>
      <c r="AR47" s="31">
        <v>292500</v>
      </c>
      <c r="AS47" s="31">
        <v>292500</v>
      </c>
      <c r="AT47" s="31">
        <v>4290</v>
      </c>
      <c r="AU47" s="32">
        <f t="shared" si="25"/>
        <v>589290</v>
      </c>
      <c r="AV47" s="41">
        <f t="shared" si="12"/>
        <v>1229751</v>
      </c>
      <c r="AX47" s="31">
        <v>0</v>
      </c>
      <c r="AY47" s="31">
        <v>0</v>
      </c>
      <c r="AZ47" s="40">
        <v>107500</v>
      </c>
      <c r="BA47" s="20">
        <v>0</v>
      </c>
      <c r="BB47" s="31">
        <v>0</v>
      </c>
      <c r="BC47" s="31">
        <f t="shared" si="13"/>
        <v>60461</v>
      </c>
      <c r="BD47" s="35">
        <f t="shared" si="26"/>
        <v>167961</v>
      </c>
      <c r="BF47" s="42">
        <f t="shared" si="14"/>
        <v>11.399999999999999</v>
      </c>
      <c r="BG47" s="42">
        <f t="shared" si="15"/>
        <v>6.4137225649592295</v>
      </c>
      <c r="BH47" s="31">
        <f t="shared" si="27"/>
        <v>4866640.0039999997</v>
      </c>
      <c r="BI47" s="31">
        <f t="shared" si="17"/>
        <v>181383</v>
      </c>
      <c r="BJ47" s="31">
        <f t="shared" si="28"/>
        <v>19389.004000000001</v>
      </c>
      <c r="BK47" s="31">
        <f t="shared" si="29"/>
        <v>34462.769999999997</v>
      </c>
      <c r="BL47" s="31">
        <f t="shared" si="30"/>
        <v>5082485.7739999993</v>
      </c>
      <c r="BM47" s="36">
        <v>3023.05</v>
      </c>
      <c r="BN47" s="37">
        <f t="shared" si="31"/>
        <v>1609.84</v>
      </c>
      <c r="BO47" s="37">
        <f t="shared" si="32"/>
        <v>60</v>
      </c>
      <c r="BP47" s="37">
        <f t="shared" si="33"/>
        <v>11.4</v>
      </c>
      <c r="BQ47" s="37">
        <f t="shared" si="34"/>
        <v>1681.24</v>
      </c>
      <c r="BR47" s="38">
        <v>1681.26</v>
      </c>
      <c r="BS47" s="37">
        <f t="shared" si="19"/>
        <v>-1.999999999998181E-2</v>
      </c>
      <c r="BT47" s="46"/>
      <c r="BW47" s="31">
        <f t="shared" si="20"/>
        <v>120922</v>
      </c>
      <c r="BX47" s="31">
        <f t="shared" si="21"/>
        <v>60461</v>
      </c>
    </row>
    <row r="48" spans="1:76" x14ac:dyDescent="0.3">
      <c r="A48" s="47" t="s">
        <v>284</v>
      </c>
      <c r="B48" s="16" t="s">
        <v>285</v>
      </c>
      <c r="C48" s="39" t="s">
        <v>286</v>
      </c>
      <c r="D48" s="29">
        <v>45728.208518518513</v>
      </c>
      <c r="E48" s="29"/>
      <c r="F48" s="16" t="s">
        <v>122</v>
      </c>
      <c r="G48" s="16" t="s">
        <v>123</v>
      </c>
      <c r="H48" s="16" t="s">
        <v>32</v>
      </c>
      <c r="I48" s="16" t="s">
        <v>156</v>
      </c>
      <c r="J48" s="30" t="s">
        <v>125</v>
      </c>
      <c r="K48" s="16" t="s">
        <v>126</v>
      </c>
      <c r="L48" s="16">
        <f t="shared" si="22"/>
        <v>31.94</v>
      </c>
      <c r="M48" s="31">
        <v>6812879</v>
      </c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E48" s="31"/>
      <c r="AF48" s="32">
        <f t="shared" si="23"/>
        <v>6812879</v>
      </c>
      <c r="AI48" s="31">
        <v>817585</v>
      </c>
      <c r="AJ48" s="31"/>
      <c r="AK48" s="31">
        <v>35600</v>
      </c>
      <c r="AL48" s="31">
        <v>272600</v>
      </c>
      <c r="AM48" s="31"/>
      <c r="AN48" s="31"/>
      <c r="AO48" s="32">
        <f t="shared" si="24"/>
        <v>1125785</v>
      </c>
      <c r="AR48" s="31">
        <v>567740</v>
      </c>
      <c r="AS48" s="31">
        <v>675637</v>
      </c>
      <c r="AT48" s="31">
        <v>101910</v>
      </c>
      <c r="AU48" s="32">
        <f t="shared" si="25"/>
        <v>1345287</v>
      </c>
      <c r="AV48" s="41">
        <f t="shared" si="12"/>
        <v>2531533</v>
      </c>
      <c r="AX48" s="31">
        <v>694013</v>
      </c>
      <c r="AY48" s="31">
        <v>0</v>
      </c>
      <c r="AZ48" s="31">
        <v>0</v>
      </c>
      <c r="BA48" s="20">
        <v>0</v>
      </c>
      <c r="BB48" s="31">
        <v>0</v>
      </c>
      <c r="BC48" s="31">
        <f t="shared" si="13"/>
        <v>60461</v>
      </c>
      <c r="BD48" s="35">
        <f t="shared" si="26"/>
        <v>754474</v>
      </c>
      <c r="BF48" s="42">
        <f t="shared" si="14"/>
        <v>11.399999999999999</v>
      </c>
      <c r="BG48" s="42">
        <f t="shared" si="15"/>
        <v>13.282512694133409</v>
      </c>
      <c r="BH48" s="31">
        <f t="shared" si="27"/>
        <v>10078578.699999999</v>
      </c>
      <c r="BI48" s="31">
        <f t="shared" si="17"/>
        <v>181383</v>
      </c>
      <c r="BJ48" s="31">
        <f t="shared" si="28"/>
        <v>40153.700000000004</v>
      </c>
      <c r="BK48" s="31">
        <f t="shared" si="29"/>
        <v>34462.769999999997</v>
      </c>
      <c r="BL48" s="31">
        <f t="shared" si="30"/>
        <v>10294424.469999999</v>
      </c>
      <c r="BM48" s="36">
        <v>3023.05</v>
      </c>
      <c r="BN48" s="37">
        <f t="shared" si="31"/>
        <v>3333.91</v>
      </c>
      <c r="BO48" s="37">
        <f t="shared" si="32"/>
        <v>60</v>
      </c>
      <c r="BP48" s="37">
        <f t="shared" si="33"/>
        <v>11.4</v>
      </c>
      <c r="BQ48" s="37">
        <f t="shared" si="34"/>
        <v>3405.31</v>
      </c>
      <c r="BR48" s="38">
        <v>3405.38</v>
      </c>
      <c r="BS48" s="37">
        <f t="shared" si="19"/>
        <v>-7.0000000000163709E-2</v>
      </c>
      <c r="BT48" s="46"/>
      <c r="BW48" s="31">
        <f t="shared" si="20"/>
        <v>120922</v>
      </c>
      <c r="BX48" s="31">
        <f t="shared" si="21"/>
        <v>60461</v>
      </c>
    </row>
    <row r="49" spans="1:76" x14ac:dyDescent="0.3">
      <c r="A49" s="47" t="s">
        <v>287</v>
      </c>
      <c r="B49" s="16" t="s">
        <v>288</v>
      </c>
      <c r="C49" s="27" t="s">
        <v>289</v>
      </c>
      <c r="D49" s="29">
        <v>45355.208518518513</v>
      </c>
      <c r="E49" s="29"/>
      <c r="F49" s="16" t="s">
        <v>122</v>
      </c>
      <c r="G49" s="16" t="s">
        <v>123</v>
      </c>
      <c r="H49" s="16" t="s">
        <v>14</v>
      </c>
      <c r="I49" s="16" t="s">
        <v>290</v>
      </c>
      <c r="J49" s="30" t="s">
        <v>125</v>
      </c>
      <c r="K49" s="16" t="s">
        <v>126</v>
      </c>
      <c r="L49" s="16">
        <f t="shared" si="22"/>
        <v>31.94</v>
      </c>
      <c r="M49" s="31">
        <v>13467694</v>
      </c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E49" s="31"/>
      <c r="AF49" s="32">
        <f t="shared" si="23"/>
        <v>13467694</v>
      </c>
      <c r="AI49" s="31">
        <v>1616192</v>
      </c>
      <c r="AJ49" s="31"/>
      <c r="AK49" s="31">
        <v>328100</v>
      </c>
      <c r="AL49" s="31">
        <v>538800</v>
      </c>
      <c r="AM49" s="31"/>
      <c r="AN49" s="31"/>
      <c r="AO49" s="32">
        <f t="shared" si="24"/>
        <v>2483092</v>
      </c>
      <c r="AR49" s="31">
        <v>1122308</v>
      </c>
      <c r="AS49" s="31">
        <v>1122308</v>
      </c>
      <c r="AT49" s="31">
        <v>191138</v>
      </c>
      <c r="AU49" s="32">
        <f t="shared" si="25"/>
        <v>2435754</v>
      </c>
      <c r="AV49" s="41">
        <f t="shared" si="12"/>
        <v>4979307</v>
      </c>
      <c r="AX49" s="31">
        <v>0</v>
      </c>
      <c r="AY49" s="31">
        <v>507872</v>
      </c>
      <c r="AZ49" s="31">
        <v>0</v>
      </c>
      <c r="BA49" s="20">
        <v>0</v>
      </c>
      <c r="BB49" s="31">
        <v>0</v>
      </c>
      <c r="BC49" s="31">
        <f t="shared" si="13"/>
        <v>60461</v>
      </c>
      <c r="BD49" s="35">
        <f t="shared" si="26"/>
        <v>568333</v>
      </c>
      <c r="BF49" s="28">
        <f t="shared" si="14"/>
        <v>11.399999999999999</v>
      </c>
      <c r="BG49" s="28">
        <f t="shared" si="15"/>
        <v>25.080462446866573</v>
      </c>
      <c r="BH49" s="31">
        <f t="shared" si="27"/>
        <v>19030692.491999999</v>
      </c>
      <c r="BI49" s="31">
        <f t="shared" si="17"/>
        <v>181383</v>
      </c>
      <c r="BJ49" s="40">
        <f t="shared" si="28"/>
        <v>75819.491999999998</v>
      </c>
      <c r="BK49" s="40">
        <f t="shared" si="29"/>
        <v>34462.769999999997</v>
      </c>
      <c r="BL49" s="31">
        <f t="shared" si="30"/>
        <v>19246538.261999998</v>
      </c>
      <c r="BM49" s="36">
        <v>3023.05</v>
      </c>
      <c r="BN49" s="37">
        <f t="shared" si="31"/>
        <v>6295.2</v>
      </c>
      <c r="BO49" s="37">
        <f t="shared" si="32"/>
        <v>60</v>
      </c>
      <c r="BP49" s="37">
        <f t="shared" si="33"/>
        <v>11.4</v>
      </c>
      <c r="BQ49" s="37">
        <f t="shared" si="34"/>
        <v>6366.5999999999995</v>
      </c>
      <c r="BR49" s="38">
        <v>6366.61</v>
      </c>
      <c r="BS49" s="37">
        <f t="shared" si="19"/>
        <v>-1.0000000000218279E-2</v>
      </c>
      <c r="BT49" s="46"/>
      <c r="BW49" s="31">
        <f t="shared" si="20"/>
        <v>120922</v>
      </c>
      <c r="BX49" s="31">
        <f t="shared" si="21"/>
        <v>60461</v>
      </c>
    </row>
    <row r="50" spans="1:76" x14ac:dyDescent="0.3">
      <c r="A50" s="47" t="s">
        <v>291</v>
      </c>
      <c r="B50" s="16" t="s">
        <v>292</v>
      </c>
      <c r="C50" s="27" t="s">
        <v>293</v>
      </c>
      <c r="D50" s="29">
        <v>45611.208518518513</v>
      </c>
      <c r="E50" s="29"/>
      <c r="F50" s="16" t="s">
        <v>122</v>
      </c>
      <c r="G50" s="16" t="s">
        <v>123</v>
      </c>
      <c r="H50" s="16" t="s">
        <v>23</v>
      </c>
      <c r="I50" s="16" t="s">
        <v>294</v>
      </c>
      <c r="J50" s="30" t="s">
        <v>125</v>
      </c>
      <c r="K50" s="16" t="s">
        <v>126</v>
      </c>
      <c r="L50" s="16">
        <f t="shared" si="22"/>
        <v>31.94</v>
      </c>
      <c r="M50" s="40">
        <v>2848000</v>
      </c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>
        <v>249095</v>
      </c>
      <c r="AA50" s="31"/>
      <c r="AB50" s="31"/>
      <c r="AC50" s="31"/>
      <c r="AE50" s="31"/>
      <c r="AF50" s="32">
        <f t="shared" si="23"/>
        <v>3097095</v>
      </c>
      <c r="AI50" s="31">
        <v>341780</v>
      </c>
      <c r="AJ50" s="31"/>
      <c r="AK50" s="31">
        <v>69400</v>
      </c>
      <c r="AL50" s="31">
        <v>114000</v>
      </c>
      <c r="AM50" s="31"/>
      <c r="AN50" s="31"/>
      <c r="AO50" s="32">
        <f t="shared" si="24"/>
        <v>525180</v>
      </c>
      <c r="AR50" s="31">
        <v>258091</v>
      </c>
      <c r="AS50" s="31">
        <v>258091</v>
      </c>
      <c r="AT50" s="31">
        <v>43876</v>
      </c>
      <c r="AU50" s="32">
        <f t="shared" si="25"/>
        <v>560058</v>
      </c>
      <c r="AV50" s="41">
        <f t="shared" si="12"/>
        <v>1145699</v>
      </c>
      <c r="AX50" s="31">
        <v>0</v>
      </c>
      <c r="AY50" s="31">
        <v>0</v>
      </c>
      <c r="AZ50" s="31">
        <v>0</v>
      </c>
      <c r="BA50" s="20">
        <v>0</v>
      </c>
      <c r="BB50" s="31">
        <v>0</v>
      </c>
      <c r="BC50" s="31">
        <f t="shared" si="13"/>
        <v>60461</v>
      </c>
      <c r="BD50" s="35">
        <f t="shared" si="26"/>
        <v>60461</v>
      </c>
      <c r="BF50" s="28">
        <f t="shared" si="14"/>
        <v>11.399999999999999</v>
      </c>
      <c r="BG50" s="28">
        <f t="shared" si="15"/>
        <v>5.613925009510262</v>
      </c>
      <c r="BH50" s="31">
        <f t="shared" si="27"/>
        <v>4259765.176</v>
      </c>
      <c r="BI50" s="31">
        <f t="shared" si="17"/>
        <v>181383</v>
      </c>
      <c r="BJ50" s="40">
        <f t="shared" si="28"/>
        <v>16971.175999999999</v>
      </c>
      <c r="BK50" s="40">
        <f t="shared" si="29"/>
        <v>34462.769999999997</v>
      </c>
      <c r="BL50" s="31">
        <f t="shared" si="30"/>
        <v>4475610.9459999995</v>
      </c>
      <c r="BM50" s="36">
        <v>3023.05</v>
      </c>
      <c r="BN50" s="37">
        <f t="shared" si="31"/>
        <v>1409.1</v>
      </c>
      <c r="BO50" s="37">
        <f t="shared" si="32"/>
        <v>60</v>
      </c>
      <c r="BP50" s="37">
        <f t="shared" si="33"/>
        <v>11.4</v>
      </c>
      <c r="BQ50" s="37">
        <f t="shared" si="34"/>
        <v>1480.5</v>
      </c>
      <c r="BR50" s="38">
        <v>1480.5</v>
      </c>
      <c r="BS50" s="37">
        <f t="shared" si="19"/>
        <v>0</v>
      </c>
      <c r="BT50" s="46"/>
      <c r="BW50" s="31">
        <f t="shared" si="20"/>
        <v>120922</v>
      </c>
      <c r="BX50" s="31">
        <f t="shared" si="21"/>
        <v>60461</v>
      </c>
    </row>
    <row r="51" spans="1:76" x14ac:dyDescent="0.3">
      <c r="A51" s="47" t="s">
        <v>295</v>
      </c>
      <c r="B51" s="16" t="s">
        <v>296</v>
      </c>
      <c r="C51" s="27" t="s">
        <v>297</v>
      </c>
      <c r="D51" s="29">
        <v>45630.208518518513</v>
      </c>
      <c r="E51" s="29"/>
      <c r="F51" s="16" t="s">
        <v>122</v>
      </c>
      <c r="G51" s="16" t="s">
        <v>123</v>
      </c>
      <c r="H51" s="16" t="s">
        <v>26</v>
      </c>
      <c r="I51" s="16" t="s">
        <v>298</v>
      </c>
      <c r="J51" s="30" t="s">
        <v>125</v>
      </c>
      <c r="K51" s="16" t="s">
        <v>126</v>
      </c>
      <c r="L51" s="16">
        <f t="shared" si="22"/>
        <v>31.94</v>
      </c>
      <c r="M51" s="40">
        <v>22761765</v>
      </c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E51" s="31"/>
      <c r="AF51" s="32">
        <f t="shared" si="23"/>
        <v>22761765</v>
      </c>
      <c r="AI51" s="31">
        <v>1912071</v>
      </c>
      <c r="AJ51" s="31">
        <v>1354371</v>
      </c>
      <c r="AK51" s="31">
        <v>388200</v>
      </c>
      <c r="AL51" s="31">
        <v>637400</v>
      </c>
      <c r="AM51" s="31">
        <v>318700</v>
      </c>
      <c r="AN51" s="31">
        <v>478000</v>
      </c>
      <c r="AO51" s="32">
        <f t="shared" si="24"/>
        <v>5088742</v>
      </c>
      <c r="AR51" s="31"/>
      <c r="AS51" s="31"/>
      <c r="AT51" s="31"/>
      <c r="AU51" s="32">
        <f t="shared" si="25"/>
        <v>0</v>
      </c>
      <c r="AV51" s="41">
        <f t="shared" si="12"/>
        <v>5149203</v>
      </c>
      <c r="AX51" s="31">
        <v>791000</v>
      </c>
      <c r="AY51" s="31">
        <v>0</v>
      </c>
      <c r="AZ51" s="31">
        <v>0</v>
      </c>
      <c r="BA51" s="20">
        <v>0</v>
      </c>
      <c r="BB51" s="31">
        <v>0</v>
      </c>
      <c r="BC51" s="31">
        <f t="shared" si="13"/>
        <v>60461</v>
      </c>
      <c r="BD51" s="35">
        <f t="shared" si="26"/>
        <v>851461</v>
      </c>
      <c r="BF51" s="28">
        <f t="shared" si="14"/>
        <v>11.399999999999999</v>
      </c>
      <c r="BG51" s="28">
        <f t="shared" si="15"/>
        <v>37.97749689882734</v>
      </c>
      <c r="BH51" s="31">
        <f t="shared" si="27"/>
        <v>28816775.872000001</v>
      </c>
      <c r="BI51" s="31">
        <f t="shared" si="17"/>
        <v>181383</v>
      </c>
      <c r="BJ51" s="40">
        <f t="shared" si="28"/>
        <v>114807.872</v>
      </c>
      <c r="BK51" s="40">
        <f t="shared" si="29"/>
        <v>34462.769999999997</v>
      </c>
      <c r="BL51" s="31">
        <f t="shared" si="30"/>
        <v>29032621.642000001</v>
      </c>
      <c r="BM51" s="36">
        <v>3023.05</v>
      </c>
      <c r="BN51" s="37">
        <f t="shared" si="31"/>
        <v>9532.35</v>
      </c>
      <c r="BO51" s="37">
        <f t="shared" si="32"/>
        <v>60</v>
      </c>
      <c r="BP51" s="37">
        <f t="shared" si="33"/>
        <v>11.4</v>
      </c>
      <c r="BQ51" s="37">
        <f t="shared" si="34"/>
        <v>9603.75</v>
      </c>
      <c r="BR51" s="38">
        <v>9603.77</v>
      </c>
      <c r="BS51" s="37">
        <f t="shared" si="19"/>
        <v>-2.0000000000436557E-2</v>
      </c>
      <c r="BT51" s="46"/>
      <c r="BW51" s="31">
        <f t="shared" si="20"/>
        <v>120922</v>
      </c>
      <c r="BX51" s="31">
        <f t="shared" si="21"/>
        <v>60461</v>
      </c>
    </row>
    <row r="52" spans="1:76" x14ac:dyDescent="0.3">
      <c r="A52" s="47" t="s">
        <v>299</v>
      </c>
      <c r="B52" s="16" t="s">
        <v>300</v>
      </c>
      <c r="C52" s="39" t="s">
        <v>301</v>
      </c>
      <c r="D52" s="29">
        <v>46258.208518518513</v>
      </c>
      <c r="E52" s="29"/>
      <c r="F52" s="16" t="s">
        <v>122</v>
      </c>
      <c r="G52" s="16" t="s">
        <v>123</v>
      </c>
      <c r="H52" s="16" t="s">
        <v>15</v>
      </c>
      <c r="I52" s="16" t="s">
        <v>148</v>
      </c>
      <c r="J52" s="30" t="s">
        <v>125</v>
      </c>
      <c r="K52" s="16" t="s">
        <v>126</v>
      </c>
      <c r="L52" s="16">
        <f t="shared" si="22"/>
        <v>31.94</v>
      </c>
      <c r="M52" s="31">
        <v>3800000</v>
      </c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E52" s="31"/>
      <c r="AF52" s="32">
        <f t="shared" si="23"/>
        <v>3800000</v>
      </c>
      <c r="AI52" s="31">
        <v>456000</v>
      </c>
      <c r="AJ52" s="31"/>
      <c r="AK52" s="31">
        <v>19900</v>
      </c>
      <c r="AL52" s="31">
        <v>152000</v>
      </c>
      <c r="AM52" s="31"/>
      <c r="AN52" s="31"/>
      <c r="AO52" s="32">
        <f t="shared" si="24"/>
        <v>627900</v>
      </c>
      <c r="AR52" s="31">
        <v>316667</v>
      </c>
      <c r="AS52" s="31">
        <v>316667</v>
      </c>
      <c r="AT52" s="31">
        <v>4645</v>
      </c>
      <c r="AU52" s="32">
        <f t="shared" si="25"/>
        <v>637979</v>
      </c>
      <c r="AV52" s="41">
        <f t="shared" si="12"/>
        <v>1326340</v>
      </c>
      <c r="AX52" s="31">
        <v>0</v>
      </c>
      <c r="AY52" s="31">
        <v>0</v>
      </c>
      <c r="AZ52" s="40">
        <v>107500</v>
      </c>
      <c r="BA52" s="20">
        <v>0</v>
      </c>
      <c r="BB52" s="40">
        <v>73300</v>
      </c>
      <c r="BC52" s="31">
        <f t="shared" si="13"/>
        <v>60461</v>
      </c>
      <c r="BD52" s="35">
        <f t="shared" si="26"/>
        <v>241261</v>
      </c>
      <c r="BF52" s="42">
        <f t="shared" si="14"/>
        <v>11.399999999999999</v>
      </c>
      <c r="BG52" s="42">
        <f t="shared" si="15"/>
        <v>7.0222325135211126</v>
      </c>
      <c r="BH52" s="31">
        <f t="shared" si="27"/>
        <v>5328368.5599999996</v>
      </c>
      <c r="BI52" s="31">
        <f t="shared" si="17"/>
        <v>181383</v>
      </c>
      <c r="BJ52" s="31">
        <f t="shared" si="28"/>
        <v>21228.560000000001</v>
      </c>
      <c r="BK52" s="31">
        <f t="shared" si="29"/>
        <v>34462.769999999997</v>
      </c>
      <c r="BL52" s="31">
        <f t="shared" si="30"/>
        <v>5544214.3299999991</v>
      </c>
      <c r="BM52" s="36">
        <v>3023.05</v>
      </c>
      <c r="BN52" s="37">
        <f t="shared" si="31"/>
        <v>1762.58</v>
      </c>
      <c r="BO52" s="37">
        <f t="shared" si="32"/>
        <v>60</v>
      </c>
      <c r="BP52" s="37">
        <f t="shared" si="33"/>
        <v>11.4</v>
      </c>
      <c r="BQ52" s="37">
        <f t="shared" si="34"/>
        <v>1833.98</v>
      </c>
      <c r="BR52" s="38">
        <v>1834</v>
      </c>
      <c r="BS52" s="37">
        <f t="shared" si="19"/>
        <v>-1.999999999998181E-2</v>
      </c>
      <c r="BT52" s="46"/>
      <c r="BW52" s="31">
        <f t="shared" si="20"/>
        <v>120922</v>
      </c>
      <c r="BX52" s="31">
        <f t="shared" si="21"/>
        <v>60461</v>
      </c>
    </row>
    <row r="53" spans="1:76" x14ac:dyDescent="0.3">
      <c r="A53" s="47" t="s">
        <v>302</v>
      </c>
      <c r="B53" s="16" t="s">
        <v>303</v>
      </c>
      <c r="C53" s="27" t="s">
        <v>304</v>
      </c>
      <c r="D53" s="29">
        <v>45790.208518518513</v>
      </c>
      <c r="E53" s="29"/>
      <c r="F53" s="16" t="s">
        <v>122</v>
      </c>
      <c r="G53" s="16" t="s">
        <v>123</v>
      </c>
      <c r="H53" s="16" t="s">
        <v>13</v>
      </c>
      <c r="I53" s="16" t="s">
        <v>305</v>
      </c>
      <c r="J53" s="30" t="s">
        <v>125</v>
      </c>
      <c r="K53" s="16" t="s">
        <v>126</v>
      </c>
      <c r="L53" s="16">
        <f t="shared" si="22"/>
        <v>31.94</v>
      </c>
      <c r="M53" s="31">
        <v>28750000</v>
      </c>
      <c r="N53" s="31"/>
      <c r="O53" s="31"/>
      <c r="P53" s="31"/>
      <c r="Q53" s="31"/>
      <c r="R53" s="31"/>
      <c r="S53" s="31"/>
      <c r="T53" s="31"/>
      <c r="U53" s="31">
        <v>200000</v>
      </c>
      <c r="V53" s="31"/>
      <c r="W53" s="31"/>
      <c r="X53" s="31"/>
      <c r="Y53" s="31"/>
      <c r="Z53" s="31"/>
      <c r="AA53" s="31"/>
      <c r="AB53" s="31"/>
      <c r="AC53" s="31"/>
      <c r="AE53" s="31"/>
      <c r="AF53" s="32">
        <f t="shared" si="23"/>
        <v>28950000</v>
      </c>
      <c r="AI53" s="31">
        <v>2415000</v>
      </c>
      <c r="AJ53" s="31">
        <v>1710700</v>
      </c>
      <c r="AK53" s="31">
        <v>490300</v>
      </c>
      <c r="AL53" s="31">
        <v>805000</v>
      </c>
      <c r="AM53" s="31">
        <v>402500</v>
      </c>
      <c r="AN53" s="31">
        <v>603800</v>
      </c>
      <c r="AO53" s="32">
        <f t="shared" si="24"/>
        <v>6427300</v>
      </c>
      <c r="AR53" s="31"/>
      <c r="AS53" s="31"/>
      <c r="AT53" s="31"/>
      <c r="AU53" s="32">
        <f t="shared" si="25"/>
        <v>0</v>
      </c>
      <c r="AV53" s="41">
        <f t="shared" si="12"/>
        <v>6487761</v>
      </c>
      <c r="AX53" s="31">
        <v>0</v>
      </c>
      <c r="AY53" s="31">
        <v>0</v>
      </c>
      <c r="AZ53" s="31">
        <v>0</v>
      </c>
      <c r="BA53" s="20">
        <v>0</v>
      </c>
      <c r="BB53" s="31">
        <v>0</v>
      </c>
      <c r="BC53" s="31">
        <f t="shared" si="13"/>
        <v>60461</v>
      </c>
      <c r="BD53" s="35">
        <f t="shared" si="26"/>
        <v>60461</v>
      </c>
      <c r="BF53" s="28">
        <f t="shared" si="14"/>
        <v>11.399999999999999</v>
      </c>
      <c r="BG53" s="28">
        <f t="shared" si="15"/>
        <v>46.890075916706635</v>
      </c>
      <c r="BH53" s="31">
        <f t="shared" si="27"/>
        <v>35579512.044</v>
      </c>
      <c r="BI53" s="31">
        <f t="shared" si="17"/>
        <v>181383</v>
      </c>
      <c r="BJ53" s="40">
        <f t="shared" si="28"/>
        <v>141751.04399999999</v>
      </c>
      <c r="BK53" s="40">
        <f t="shared" si="29"/>
        <v>34462.769999999997</v>
      </c>
      <c r="BL53" s="31">
        <f t="shared" si="30"/>
        <v>35795357.814000003</v>
      </c>
      <c r="BM53" s="36">
        <v>3023.05</v>
      </c>
      <c r="BN53" s="37">
        <f t="shared" si="31"/>
        <v>11769.41</v>
      </c>
      <c r="BO53" s="37">
        <f t="shared" si="32"/>
        <v>60</v>
      </c>
      <c r="BP53" s="37">
        <f t="shared" si="33"/>
        <v>11.4</v>
      </c>
      <c r="BQ53" s="37">
        <f t="shared" si="34"/>
        <v>11840.81</v>
      </c>
      <c r="BR53" s="38">
        <v>11840.82</v>
      </c>
      <c r="BS53" s="37">
        <f t="shared" si="19"/>
        <v>-1.0000000000218279E-2</v>
      </c>
      <c r="BT53" s="46"/>
      <c r="BW53" s="31">
        <f t="shared" si="20"/>
        <v>120922</v>
      </c>
      <c r="BX53" s="31">
        <f t="shared" si="21"/>
        <v>60461</v>
      </c>
    </row>
    <row r="54" spans="1:76" x14ac:dyDescent="0.3">
      <c r="A54" s="47" t="s">
        <v>306</v>
      </c>
      <c r="B54" s="16" t="s">
        <v>307</v>
      </c>
      <c r="C54" s="27" t="s">
        <v>308</v>
      </c>
      <c r="D54" s="29">
        <v>46217.208518518513</v>
      </c>
      <c r="E54" s="29"/>
      <c r="F54" s="16" t="s">
        <v>122</v>
      </c>
      <c r="G54" s="16" t="s">
        <v>123</v>
      </c>
      <c r="H54" s="16" t="s">
        <v>46</v>
      </c>
      <c r="I54" s="16" t="s">
        <v>309</v>
      </c>
      <c r="J54" s="30" t="s">
        <v>125</v>
      </c>
      <c r="K54" s="16" t="s">
        <v>126</v>
      </c>
      <c r="L54" s="16">
        <f t="shared" si="22"/>
        <v>31.94</v>
      </c>
      <c r="M54" s="31">
        <v>10000000</v>
      </c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E54" s="31"/>
      <c r="AF54" s="32">
        <f t="shared" si="23"/>
        <v>10000000</v>
      </c>
      <c r="AI54" s="31">
        <v>1200000</v>
      </c>
      <c r="AJ54" s="31"/>
      <c r="AK54" s="31">
        <v>52200</v>
      </c>
      <c r="AL54" s="31">
        <v>400000</v>
      </c>
      <c r="AM54" s="31"/>
      <c r="AN54" s="31"/>
      <c r="AO54" s="32">
        <f t="shared" si="24"/>
        <v>1652200</v>
      </c>
      <c r="AR54" s="31">
        <v>833333</v>
      </c>
      <c r="AS54" s="31">
        <v>833333</v>
      </c>
      <c r="AT54" s="31">
        <v>34444</v>
      </c>
      <c r="AU54" s="32">
        <f t="shared" si="25"/>
        <v>1701110</v>
      </c>
      <c r="AV54" s="34">
        <f t="shared" si="12"/>
        <v>3413771</v>
      </c>
      <c r="AX54" s="31">
        <v>0</v>
      </c>
      <c r="AY54" s="31">
        <v>0</v>
      </c>
      <c r="AZ54" s="31">
        <v>0</v>
      </c>
      <c r="BA54" s="20">
        <v>0</v>
      </c>
      <c r="BB54" s="31">
        <v>0</v>
      </c>
      <c r="BC54" s="31">
        <f t="shared" si="13"/>
        <v>60461</v>
      </c>
      <c r="BD54" s="35">
        <f t="shared" si="26"/>
        <v>60461</v>
      </c>
      <c r="BF54" s="28">
        <f t="shared" si="14"/>
        <v>11.399999999999999</v>
      </c>
      <c r="BG54" s="28">
        <f t="shared" si="15"/>
        <v>17.748659135641155</v>
      </c>
      <c r="BH54" s="31">
        <f t="shared" si="27"/>
        <v>13467426.084000001</v>
      </c>
      <c r="BI54" s="31">
        <f t="shared" si="17"/>
        <v>181383</v>
      </c>
      <c r="BJ54" s="40">
        <f t="shared" si="28"/>
        <v>53655.084000000003</v>
      </c>
      <c r="BK54" s="40">
        <f t="shared" si="29"/>
        <v>34462.769999999997</v>
      </c>
      <c r="BL54" s="31">
        <f t="shared" si="30"/>
        <v>13683271.854</v>
      </c>
      <c r="BM54" s="36">
        <v>3023.05</v>
      </c>
      <c r="BN54" s="37">
        <f t="shared" si="31"/>
        <v>4454.91</v>
      </c>
      <c r="BO54" s="37">
        <f t="shared" si="32"/>
        <v>60</v>
      </c>
      <c r="BP54" s="37">
        <f t="shared" si="33"/>
        <v>11.4</v>
      </c>
      <c r="BQ54" s="37">
        <f t="shared" si="34"/>
        <v>4526.3099999999995</v>
      </c>
      <c r="BR54" s="38">
        <v>4526.32</v>
      </c>
      <c r="BS54" s="37">
        <f t="shared" si="19"/>
        <v>-1.0000000000218279E-2</v>
      </c>
      <c r="BT54" s="46"/>
      <c r="BW54" s="31">
        <f t="shared" si="20"/>
        <v>120922</v>
      </c>
      <c r="BX54" s="31">
        <f t="shared" si="21"/>
        <v>60461</v>
      </c>
    </row>
    <row r="55" spans="1:76" x14ac:dyDescent="0.3">
      <c r="A55" s="47" t="s">
        <v>310</v>
      </c>
      <c r="B55" s="16" t="s">
        <v>311</v>
      </c>
      <c r="C55" s="39" t="s">
        <v>312</v>
      </c>
      <c r="D55" s="29">
        <v>46224.208518518513</v>
      </c>
      <c r="E55" s="29"/>
      <c r="F55" s="16" t="s">
        <v>122</v>
      </c>
      <c r="G55" s="16" t="s">
        <v>123</v>
      </c>
      <c r="H55" s="16" t="s">
        <v>43</v>
      </c>
      <c r="I55" s="16" t="s">
        <v>140</v>
      </c>
      <c r="J55" s="30" t="s">
        <v>125</v>
      </c>
      <c r="K55" s="16" t="s">
        <v>126</v>
      </c>
      <c r="L55" s="16">
        <f t="shared" si="22"/>
        <v>31.94</v>
      </c>
      <c r="M55" s="31">
        <v>4000000</v>
      </c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E55" s="31"/>
      <c r="AF55" s="32">
        <f t="shared" si="23"/>
        <v>4000000</v>
      </c>
      <c r="AI55" s="31">
        <v>480000</v>
      </c>
      <c r="AJ55" s="31"/>
      <c r="AK55" s="31">
        <v>20900</v>
      </c>
      <c r="AL55" s="31">
        <v>160000</v>
      </c>
      <c r="AM55" s="31"/>
      <c r="AN55" s="31"/>
      <c r="AO55" s="32">
        <f t="shared" si="24"/>
        <v>660900</v>
      </c>
      <c r="AR55" s="31">
        <v>333334</v>
      </c>
      <c r="AS55" s="31">
        <v>333334</v>
      </c>
      <c r="AT55" s="31">
        <v>12222</v>
      </c>
      <c r="AU55" s="32">
        <f t="shared" si="25"/>
        <v>678890</v>
      </c>
      <c r="AV55" s="41">
        <f t="shared" si="12"/>
        <v>1400251</v>
      </c>
      <c r="AX55" s="31">
        <v>0</v>
      </c>
      <c r="AY55" s="31">
        <v>0</v>
      </c>
      <c r="AZ55" s="31">
        <v>0</v>
      </c>
      <c r="BA55" s="20">
        <v>0</v>
      </c>
      <c r="BB55" s="31">
        <v>0</v>
      </c>
      <c r="BC55" s="31">
        <f t="shared" si="13"/>
        <v>60461</v>
      </c>
      <c r="BD55" s="35">
        <f t="shared" si="26"/>
        <v>60461</v>
      </c>
      <c r="BF55" s="42">
        <f t="shared" si="14"/>
        <v>11.399999999999999</v>
      </c>
      <c r="BG55" s="42">
        <f t="shared" si="15"/>
        <v>7.1454339160781331</v>
      </c>
      <c r="BH55" s="31">
        <f t="shared" si="27"/>
        <v>5421852.0039999997</v>
      </c>
      <c r="BI55" s="31">
        <f t="shared" si="17"/>
        <v>181383</v>
      </c>
      <c r="BJ55" s="31">
        <f t="shared" si="28"/>
        <v>21601.004000000001</v>
      </c>
      <c r="BK55" s="31">
        <f t="shared" si="29"/>
        <v>34462.769999999997</v>
      </c>
      <c r="BL55" s="31">
        <f t="shared" si="30"/>
        <v>5637697.7739999993</v>
      </c>
      <c r="BM55" s="36">
        <v>3023.05</v>
      </c>
      <c r="BN55" s="37">
        <f t="shared" si="31"/>
        <v>1793.5</v>
      </c>
      <c r="BO55" s="37">
        <f t="shared" si="32"/>
        <v>60</v>
      </c>
      <c r="BP55" s="37">
        <f t="shared" si="33"/>
        <v>11.4</v>
      </c>
      <c r="BQ55" s="37">
        <f t="shared" si="34"/>
        <v>1864.9</v>
      </c>
      <c r="BR55" s="38">
        <v>1864.92</v>
      </c>
      <c r="BS55" s="37">
        <f t="shared" si="19"/>
        <v>-1.999999999998181E-2</v>
      </c>
      <c r="BT55" s="46"/>
      <c r="BW55" s="31">
        <f t="shared" si="20"/>
        <v>120922</v>
      </c>
      <c r="BX55" s="31">
        <f t="shared" si="21"/>
        <v>60461</v>
      </c>
    </row>
    <row r="56" spans="1:76" x14ac:dyDescent="0.3">
      <c r="A56" s="47" t="s">
        <v>313</v>
      </c>
      <c r="B56" s="16" t="s">
        <v>314</v>
      </c>
      <c r="C56" s="39" t="s">
        <v>315</v>
      </c>
      <c r="D56" s="29">
        <v>45999.208518518513</v>
      </c>
      <c r="E56" s="29"/>
      <c r="F56" s="16" t="s">
        <v>122</v>
      </c>
      <c r="G56" s="16" t="s">
        <v>123</v>
      </c>
      <c r="H56" s="16" t="s">
        <v>47</v>
      </c>
      <c r="I56" s="16" t="s">
        <v>268</v>
      </c>
      <c r="J56" s="30" t="s">
        <v>125</v>
      </c>
      <c r="K56" s="16" t="s">
        <v>126</v>
      </c>
      <c r="L56" s="16">
        <f t="shared" si="22"/>
        <v>31.94</v>
      </c>
      <c r="M56" s="31">
        <v>12396837</v>
      </c>
      <c r="N56" s="31"/>
      <c r="O56" s="31"/>
      <c r="P56" s="31"/>
      <c r="Q56" s="31"/>
      <c r="R56" s="31"/>
      <c r="S56" s="31"/>
      <c r="T56" s="31"/>
      <c r="U56" s="31"/>
      <c r="V56" s="31">
        <v>863830</v>
      </c>
      <c r="W56" s="31"/>
      <c r="X56" s="31"/>
      <c r="Y56" s="31"/>
      <c r="Z56" s="31"/>
      <c r="AA56" s="31"/>
      <c r="AB56" s="31"/>
      <c r="AC56" s="31"/>
      <c r="AE56" s="31"/>
      <c r="AF56" s="32">
        <f t="shared" si="23"/>
        <v>13260667</v>
      </c>
      <c r="AI56" s="31">
        <v>1487627</v>
      </c>
      <c r="AJ56" s="31"/>
      <c r="AK56" s="31">
        <v>302000</v>
      </c>
      <c r="AL56" s="31">
        <v>495900</v>
      </c>
      <c r="AM56" s="31"/>
      <c r="AN56" s="31"/>
      <c r="AO56" s="32">
        <f t="shared" si="24"/>
        <v>2285527</v>
      </c>
      <c r="AR56" s="31">
        <v>1033069</v>
      </c>
      <c r="AS56" s="31">
        <v>1033070</v>
      </c>
      <c r="AT56" s="31">
        <v>177915</v>
      </c>
      <c r="AU56" s="32">
        <f t="shared" si="25"/>
        <v>2244054</v>
      </c>
      <c r="AV56" s="34">
        <f t="shared" si="12"/>
        <v>4590042</v>
      </c>
      <c r="AX56" s="31">
        <v>0</v>
      </c>
      <c r="AY56" s="31">
        <v>507872</v>
      </c>
      <c r="AZ56" s="31">
        <v>0</v>
      </c>
      <c r="BA56" s="20">
        <v>0</v>
      </c>
      <c r="BB56" s="31">
        <v>0</v>
      </c>
      <c r="BC56" s="31">
        <f t="shared" si="13"/>
        <v>60461</v>
      </c>
      <c r="BD56" s="35">
        <f t="shared" si="26"/>
        <v>568333</v>
      </c>
      <c r="BF56" s="42">
        <f t="shared" si="14"/>
        <v>11.399999999999999</v>
      </c>
      <c r="BG56" s="42">
        <f t="shared" si="15"/>
        <v>24.291468549974365</v>
      </c>
      <c r="BH56" s="31">
        <f t="shared" si="27"/>
        <v>18432015.324000001</v>
      </c>
      <c r="BI56" s="31">
        <f t="shared" si="17"/>
        <v>181383</v>
      </c>
      <c r="BJ56" s="31">
        <f t="shared" si="28"/>
        <v>73434.324000000008</v>
      </c>
      <c r="BK56" s="31">
        <f t="shared" si="29"/>
        <v>34462.769999999997</v>
      </c>
      <c r="BL56" s="31">
        <f t="shared" si="30"/>
        <v>18647861.094000001</v>
      </c>
      <c r="BM56" s="36">
        <v>3023.05</v>
      </c>
      <c r="BN56" s="37">
        <f t="shared" si="31"/>
        <v>6097.16</v>
      </c>
      <c r="BO56" s="37">
        <f t="shared" si="32"/>
        <v>60</v>
      </c>
      <c r="BP56" s="37">
        <f t="shared" si="33"/>
        <v>11.4</v>
      </c>
      <c r="BQ56" s="37">
        <f t="shared" si="34"/>
        <v>6168.5599999999995</v>
      </c>
      <c r="BR56" s="38">
        <v>6168.57</v>
      </c>
      <c r="BS56" s="37">
        <f t="shared" si="19"/>
        <v>-1.0000000000218279E-2</v>
      </c>
      <c r="BT56" s="46"/>
      <c r="BW56" s="31">
        <f t="shared" si="20"/>
        <v>120922</v>
      </c>
      <c r="BX56" s="31">
        <f t="shared" si="21"/>
        <v>60461</v>
      </c>
    </row>
    <row r="57" spans="1:76" x14ac:dyDescent="0.3">
      <c r="A57" s="47" t="s">
        <v>316</v>
      </c>
      <c r="B57" s="16" t="s">
        <v>317</v>
      </c>
      <c r="C57" s="27" t="s">
        <v>318</v>
      </c>
      <c r="D57" s="29">
        <v>46082.208518518513</v>
      </c>
      <c r="E57" s="29"/>
      <c r="F57" s="16" t="s">
        <v>122</v>
      </c>
      <c r="G57" s="16" t="s">
        <v>123</v>
      </c>
      <c r="H57" s="16" t="s">
        <v>17</v>
      </c>
      <c r="I57" s="16" t="s">
        <v>264</v>
      </c>
      <c r="J57" s="30" t="s">
        <v>125</v>
      </c>
      <c r="K57" s="16" t="s">
        <v>126</v>
      </c>
      <c r="L57" s="16">
        <f t="shared" si="22"/>
        <v>31.94</v>
      </c>
      <c r="M57" s="31">
        <v>6352500</v>
      </c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E57" s="31"/>
      <c r="AF57" s="32">
        <f t="shared" si="23"/>
        <v>6352500</v>
      </c>
      <c r="AI57" s="31">
        <v>762300</v>
      </c>
      <c r="AJ57" s="31"/>
      <c r="AK57" s="31">
        <v>154800</v>
      </c>
      <c r="AL57" s="31">
        <v>254100</v>
      </c>
      <c r="AM57" s="31"/>
      <c r="AN57" s="31"/>
      <c r="AO57" s="32">
        <f t="shared" si="24"/>
        <v>1171200</v>
      </c>
      <c r="AR57" s="31">
        <v>529375</v>
      </c>
      <c r="AS57" s="31">
        <v>529375</v>
      </c>
      <c r="AT57" s="31">
        <v>68819</v>
      </c>
      <c r="AU57" s="32">
        <f t="shared" si="25"/>
        <v>1127569</v>
      </c>
      <c r="AV57" s="41">
        <f t="shared" si="12"/>
        <v>2359230</v>
      </c>
      <c r="AX57" s="31">
        <v>0</v>
      </c>
      <c r="AY57" s="31">
        <v>0</v>
      </c>
      <c r="AZ57" s="31">
        <v>0</v>
      </c>
      <c r="BA57" s="20">
        <v>0</v>
      </c>
      <c r="BB57" s="31">
        <v>0</v>
      </c>
      <c r="BC57" s="31">
        <f t="shared" si="13"/>
        <v>60461</v>
      </c>
      <c r="BD57" s="35">
        <f t="shared" si="26"/>
        <v>60461</v>
      </c>
      <c r="BF57" s="28">
        <f t="shared" si="14"/>
        <v>11.399999999999999</v>
      </c>
      <c r="BG57" s="28">
        <f t="shared" si="15"/>
        <v>11.527073650783148</v>
      </c>
      <c r="BH57" s="31">
        <f t="shared" si="27"/>
        <v>8746576.9199999999</v>
      </c>
      <c r="BI57" s="31">
        <f t="shared" si="17"/>
        <v>181383</v>
      </c>
      <c r="BJ57" s="40">
        <f t="shared" si="28"/>
        <v>34846.92</v>
      </c>
      <c r="BK57" s="40">
        <f t="shared" si="29"/>
        <v>34462.769999999997</v>
      </c>
      <c r="BL57" s="31">
        <f t="shared" si="30"/>
        <v>8962422.6899999995</v>
      </c>
      <c r="BM57" s="36">
        <v>3023.05</v>
      </c>
      <c r="BN57" s="37">
        <f t="shared" si="31"/>
        <v>2893.3</v>
      </c>
      <c r="BO57" s="37">
        <f t="shared" si="32"/>
        <v>60</v>
      </c>
      <c r="BP57" s="37">
        <f t="shared" si="33"/>
        <v>11.4</v>
      </c>
      <c r="BQ57" s="37">
        <f t="shared" si="34"/>
        <v>2964.7000000000003</v>
      </c>
      <c r="BR57" s="38">
        <v>2964.71</v>
      </c>
      <c r="BS57" s="37">
        <f t="shared" si="19"/>
        <v>-9.9999999997635314E-3</v>
      </c>
      <c r="BT57" s="46"/>
      <c r="BW57" s="31">
        <f t="shared" si="20"/>
        <v>120922</v>
      </c>
      <c r="BX57" s="31">
        <f t="shared" si="21"/>
        <v>60461</v>
      </c>
    </row>
    <row r="58" spans="1:76" x14ac:dyDescent="0.3">
      <c r="A58" s="47" t="s">
        <v>319</v>
      </c>
      <c r="B58" s="16" t="s">
        <v>320</v>
      </c>
      <c r="C58" s="39" t="s">
        <v>321</v>
      </c>
      <c r="D58" s="29">
        <v>45803.208518518513</v>
      </c>
      <c r="E58" s="29"/>
      <c r="F58" s="16" t="s">
        <v>122</v>
      </c>
      <c r="G58" s="16" t="s">
        <v>123</v>
      </c>
      <c r="H58" s="16" t="s">
        <v>47</v>
      </c>
      <c r="I58" s="16" t="s">
        <v>268</v>
      </c>
      <c r="J58" s="30" t="s">
        <v>125</v>
      </c>
      <c r="K58" s="16" t="s">
        <v>126</v>
      </c>
      <c r="L58" s="16">
        <f t="shared" si="22"/>
        <v>31.94</v>
      </c>
      <c r="M58" s="31">
        <v>4965125</v>
      </c>
      <c r="N58" s="31"/>
      <c r="O58" s="31"/>
      <c r="P58" s="31"/>
      <c r="Q58" s="31"/>
      <c r="R58" s="31"/>
      <c r="S58" s="31"/>
      <c r="T58" s="31"/>
      <c r="U58" s="31"/>
      <c r="V58" s="40">
        <v>926388</v>
      </c>
      <c r="W58" s="31"/>
      <c r="X58" s="31"/>
      <c r="Y58" s="31"/>
      <c r="Z58" s="31"/>
      <c r="AA58" s="31"/>
      <c r="AB58" s="31"/>
      <c r="AC58" s="31"/>
      <c r="AE58" s="31"/>
      <c r="AF58" s="32">
        <f t="shared" si="23"/>
        <v>5891513</v>
      </c>
      <c r="AI58" s="31">
        <v>595895</v>
      </c>
      <c r="AJ58" s="31"/>
      <c r="AK58" s="31">
        <v>121000</v>
      </c>
      <c r="AL58" s="31">
        <v>198700</v>
      </c>
      <c r="AM58" s="31"/>
      <c r="AN58" s="31"/>
      <c r="AO58" s="32">
        <f t="shared" si="24"/>
        <v>915595</v>
      </c>
      <c r="AR58" s="31">
        <v>413760</v>
      </c>
      <c r="AS58" s="31">
        <v>413761</v>
      </c>
      <c r="AT58" s="31">
        <v>70339</v>
      </c>
      <c r="AU58" s="32">
        <f t="shared" si="25"/>
        <v>897860</v>
      </c>
      <c r="AV58" s="34">
        <f t="shared" si="12"/>
        <v>1873916</v>
      </c>
      <c r="AX58" s="31">
        <v>0</v>
      </c>
      <c r="AY58" s="31">
        <v>466233</v>
      </c>
      <c r="AZ58" s="31">
        <v>0</v>
      </c>
      <c r="BA58" s="20">
        <v>0</v>
      </c>
      <c r="BB58" s="31">
        <v>0</v>
      </c>
      <c r="BC58" s="31">
        <f t="shared" si="13"/>
        <v>60461</v>
      </c>
      <c r="BD58" s="35">
        <f t="shared" si="26"/>
        <v>526694</v>
      </c>
      <c r="BF58" s="42">
        <f t="shared" si="14"/>
        <v>11.399999999999999</v>
      </c>
      <c r="BG58" s="42">
        <f t="shared" si="15"/>
        <v>10.891863515323928</v>
      </c>
      <c r="BH58" s="31">
        <f t="shared" si="27"/>
        <v>8264588.648</v>
      </c>
      <c r="BI58" s="31">
        <f t="shared" si="17"/>
        <v>181383</v>
      </c>
      <c r="BJ58" s="31">
        <f t="shared" si="28"/>
        <v>32926.648000000001</v>
      </c>
      <c r="BK58" s="31">
        <f t="shared" si="29"/>
        <v>34462.769999999997</v>
      </c>
      <c r="BL58" s="31">
        <f t="shared" si="30"/>
        <v>8480434.4179999996</v>
      </c>
      <c r="BM58" s="36">
        <v>3023.05</v>
      </c>
      <c r="BN58" s="37">
        <f t="shared" si="31"/>
        <v>2733.86</v>
      </c>
      <c r="BO58" s="37">
        <f t="shared" si="32"/>
        <v>60</v>
      </c>
      <c r="BP58" s="37">
        <f t="shared" si="33"/>
        <v>11.4</v>
      </c>
      <c r="BQ58" s="37">
        <f t="shared" si="34"/>
        <v>2805.26</v>
      </c>
      <c r="BR58" s="38">
        <v>2805.28</v>
      </c>
      <c r="BS58" s="37">
        <f t="shared" si="19"/>
        <v>-1.999999999998181E-2</v>
      </c>
      <c r="BT58" s="46"/>
      <c r="BW58" s="31">
        <f t="shared" si="20"/>
        <v>120922</v>
      </c>
      <c r="BX58" s="31">
        <f t="shared" si="21"/>
        <v>60461</v>
      </c>
    </row>
    <row r="59" spans="1:76" x14ac:dyDescent="0.3">
      <c r="A59" s="47" t="s">
        <v>322</v>
      </c>
      <c r="B59" s="16" t="s">
        <v>323</v>
      </c>
      <c r="C59" s="27" t="s">
        <v>324</v>
      </c>
      <c r="D59" s="29">
        <v>46146.208518518513</v>
      </c>
      <c r="E59" s="29"/>
      <c r="F59" s="16" t="s">
        <v>122</v>
      </c>
      <c r="G59" s="16" t="s">
        <v>123</v>
      </c>
      <c r="H59" s="16" t="s">
        <v>17</v>
      </c>
      <c r="I59" s="16" t="s">
        <v>264</v>
      </c>
      <c r="J59" s="30" t="s">
        <v>125</v>
      </c>
      <c r="K59" s="16" t="s">
        <v>126</v>
      </c>
      <c r="L59" s="16">
        <f t="shared" si="22"/>
        <v>31.94</v>
      </c>
      <c r="M59" s="31">
        <v>4827440</v>
      </c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E59" s="31"/>
      <c r="AF59" s="32">
        <f t="shared" si="23"/>
        <v>4827440</v>
      </c>
      <c r="AI59" s="31">
        <v>579302</v>
      </c>
      <c r="AJ59" s="31"/>
      <c r="AK59" s="31">
        <v>25200</v>
      </c>
      <c r="AL59" s="31">
        <v>193100</v>
      </c>
      <c r="AM59" s="31"/>
      <c r="AN59" s="31"/>
      <c r="AO59" s="32">
        <f t="shared" si="24"/>
        <v>797602</v>
      </c>
      <c r="AR59" s="31">
        <v>402287</v>
      </c>
      <c r="AS59" s="31">
        <v>402287</v>
      </c>
      <c r="AT59" s="31">
        <v>35401</v>
      </c>
      <c r="AU59" s="32">
        <f t="shared" si="25"/>
        <v>839975</v>
      </c>
      <c r="AV59" s="41">
        <f t="shared" si="12"/>
        <v>1698038</v>
      </c>
      <c r="AX59" s="31">
        <v>0</v>
      </c>
      <c r="AY59" s="31">
        <v>0</v>
      </c>
      <c r="AZ59" s="31">
        <v>0</v>
      </c>
      <c r="BA59" s="20">
        <v>0</v>
      </c>
      <c r="BB59" s="31">
        <v>0</v>
      </c>
      <c r="BC59" s="31">
        <f t="shared" si="13"/>
        <v>60461</v>
      </c>
      <c r="BD59" s="35">
        <f t="shared" si="26"/>
        <v>60461</v>
      </c>
      <c r="BF59" s="28">
        <f t="shared" si="14"/>
        <v>11.399999999999999</v>
      </c>
      <c r="BG59" s="28">
        <f t="shared" si="15"/>
        <v>8.6342971502290737</v>
      </c>
      <c r="BH59" s="31">
        <f t="shared" si="27"/>
        <v>6551579.9119999995</v>
      </c>
      <c r="BI59" s="31">
        <f t="shared" si="17"/>
        <v>181383</v>
      </c>
      <c r="BJ59" s="40">
        <f t="shared" si="28"/>
        <v>26101.912</v>
      </c>
      <c r="BK59" s="40">
        <f t="shared" si="29"/>
        <v>34462.769999999997</v>
      </c>
      <c r="BL59" s="31">
        <f t="shared" si="30"/>
        <v>6767425.6819999991</v>
      </c>
      <c r="BM59" s="36">
        <v>3023.05</v>
      </c>
      <c r="BN59" s="37">
        <f t="shared" si="31"/>
        <v>2167.21</v>
      </c>
      <c r="BO59" s="37">
        <f t="shared" si="32"/>
        <v>60</v>
      </c>
      <c r="BP59" s="37">
        <f t="shared" si="33"/>
        <v>11.4</v>
      </c>
      <c r="BQ59" s="37">
        <f t="shared" si="34"/>
        <v>2238.61</v>
      </c>
      <c r="BR59" s="38">
        <v>2238.61</v>
      </c>
      <c r="BS59" s="37">
        <f t="shared" si="19"/>
        <v>0</v>
      </c>
      <c r="BT59" s="46"/>
      <c r="BW59" s="31">
        <f t="shared" si="20"/>
        <v>120922</v>
      </c>
      <c r="BX59" s="31">
        <f t="shared" si="21"/>
        <v>60461</v>
      </c>
    </row>
    <row r="60" spans="1:76" x14ac:dyDescent="0.3">
      <c r="A60" s="47" t="s">
        <v>325</v>
      </c>
      <c r="B60" s="16" t="s">
        <v>326</v>
      </c>
      <c r="C60" s="39" t="s">
        <v>327</v>
      </c>
      <c r="D60" s="29">
        <v>46224.208518518513</v>
      </c>
      <c r="E60" s="29"/>
      <c r="F60" s="16" t="s">
        <v>122</v>
      </c>
      <c r="G60" s="16" t="s">
        <v>123</v>
      </c>
      <c r="H60" s="16" t="s">
        <v>43</v>
      </c>
      <c r="I60" s="16" t="s">
        <v>140</v>
      </c>
      <c r="J60" s="30" t="s">
        <v>125</v>
      </c>
      <c r="K60" s="16" t="s">
        <v>126</v>
      </c>
      <c r="L60" s="16">
        <f t="shared" si="22"/>
        <v>31.94</v>
      </c>
      <c r="M60" s="31">
        <v>4000000</v>
      </c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E60" s="31"/>
      <c r="AF60" s="32">
        <f t="shared" si="23"/>
        <v>4000000</v>
      </c>
      <c r="AI60" s="31">
        <v>480000</v>
      </c>
      <c r="AJ60" s="31"/>
      <c r="AK60" s="31">
        <v>20900</v>
      </c>
      <c r="AL60" s="31">
        <v>160000</v>
      </c>
      <c r="AM60" s="31"/>
      <c r="AN60" s="31"/>
      <c r="AO60" s="32">
        <f t="shared" si="24"/>
        <v>660900</v>
      </c>
      <c r="AR60" s="31">
        <v>333334</v>
      </c>
      <c r="AS60" s="31">
        <v>333334</v>
      </c>
      <c r="AT60" s="31">
        <v>12222</v>
      </c>
      <c r="AU60" s="32">
        <f t="shared" si="25"/>
        <v>678890</v>
      </c>
      <c r="AV60" s="41">
        <f t="shared" si="12"/>
        <v>1400251</v>
      </c>
      <c r="AX60" s="31">
        <v>0</v>
      </c>
      <c r="AY60" s="31">
        <v>0</v>
      </c>
      <c r="AZ60" s="31">
        <v>0</v>
      </c>
      <c r="BA60" s="20">
        <v>0</v>
      </c>
      <c r="BB60" s="31">
        <v>0</v>
      </c>
      <c r="BC60" s="31">
        <f t="shared" si="13"/>
        <v>60461</v>
      </c>
      <c r="BD60" s="35">
        <f t="shared" si="26"/>
        <v>60461</v>
      </c>
      <c r="BF60" s="42">
        <f t="shared" si="14"/>
        <v>11.399999999999999</v>
      </c>
      <c r="BG60" s="42">
        <f t="shared" si="15"/>
        <v>7.1454339160781331</v>
      </c>
      <c r="BH60" s="31">
        <f t="shared" si="27"/>
        <v>5421852.0039999997</v>
      </c>
      <c r="BI60" s="31">
        <f t="shared" si="17"/>
        <v>181383</v>
      </c>
      <c r="BJ60" s="31">
        <f t="shared" si="28"/>
        <v>21601.004000000001</v>
      </c>
      <c r="BK60" s="31">
        <f t="shared" si="29"/>
        <v>34462.769999999997</v>
      </c>
      <c r="BL60" s="31">
        <f t="shared" si="30"/>
        <v>5637697.7739999993</v>
      </c>
      <c r="BM60" s="36">
        <v>3023.05</v>
      </c>
      <c r="BN60" s="37">
        <f t="shared" si="31"/>
        <v>1793.5</v>
      </c>
      <c r="BO60" s="37">
        <f t="shared" si="32"/>
        <v>60</v>
      </c>
      <c r="BP60" s="37">
        <f t="shared" si="33"/>
        <v>11.4</v>
      </c>
      <c r="BQ60" s="37">
        <f t="shared" si="34"/>
        <v>1864.9</v>
      </c>
      <c r="BR60" s="38">
        <v>1864.92</v>
      </c>
      <c r="BS60" s="37">
        <f t="shared" si="19"/>
        <v>-1.999999999998181E-2</v>
      </c>
      <c r="BT60" s="46"/>
      <c r="BW60" s="31">
        <f t="shared" si="20"/>
        <v>120922</v>
      </c>
      <c r="BX60" s="31">
        <f t="shared" si="21"/>
        <v>60461</v>
      </c>
    </row>
    <row r="61" spans="1:76" x14ac:dyDescent="0.3">
      <c r="A61" s="47" t="s">
        <v>328</v>
      </c>
      <c r="B61" s="16" t="s">
        <v>329</v>
      </c>
      <c r="C61" s="27" t="s">
        <v>330</v>
      </c>
      <c r="D61" s="29">
        <v>46030.208518518513</v>
      </c>
      <c r="E61" s="29"/>
      <c r="F61" s="16" t="s">
        <v>122</v>
      </c>
      <c r="G61" s="16" t="s">
        <v>123</v>
      </c>
      <c r="H61" s="16" t="s">
        <v>30</v>
      </c>
      <c r="I61" s="16" t="s">
        <v>331</v>
      </c>
      <c r="J61" s="30" t="s">
        <v>125</v>
      </c>
      <c r="K61" s="16" t="s">
        <v>126</v>
      </c>
      <c r="L61" s="16">
        <f t="shared" si="22"/>
        <v>31.94</v>
      </c>
      <c r="M61" s="31">
        <v>2365000</v>
      </c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>
        <v>249095</v>
      </c>
      <c r="AA61" s="31"/>
      <c r="AB61" s="31"/>
      <c r="AC61" s="31"/>
      <c r="AE61" s="31"/>
      <c r="AF61" s="32">
        <f t="shared" si="23"/>
        <v>2614095</v>
      </c>
      <c r="AI61" s="31">
        <v>283800</v>
      </c>
      <c r="AJ61" s="31"/>
      <c r="AK61" s="31">
        <v>57700</v>
      </c>
      <c r="AL61" s="31">
        <v>94600</v>
      </c>
      <c r="AM61" s="31"/>
      <c r="AN61" s="31"/>
      <c r="AO61" s="32">
        <f t="shared" si="24"/>
        <v>436100</v>
      </c>
      <c r="AR61" s="31">
        <v>217842</v>
      </c>
      <c r="AS61" s="31">
        <v>217841</v>
      </c>
      <c r="AT61" s="31">
        <v>36303</v>
      </c>
      <c r="AU61" s="32">
        <f t="shared" si="25"/>
        <v>471986</v>
      </c>
      <c r="AV61" s="41">
        <f t="shared" si="12"/>
        <v>968547</v>
      </c>
      <c r="AX61" s="31">
        <v>0</v>
      </c>
      <c r="AY61" s="31">
        <v>0</v>
      </c>
      <c r="AZ61" s="31">
        <v>0</v>
      </c>
      <c r="BA61" s="20">
        <v>0</v>
      </c>
      <c r="BB61" s="31">
        <v>0</v>
      </c>
      <c r="BC61" s="31">
        <f t="shared" si="13"/>
        <v>60461</v>
      </c>
      <c r="BD61" s="35">
        <f t="shared" si="26"/>
        <v>60461</v>
      </c>
      <c r="BF61" s="28">
        <f t="shared" si="14"/>
        <v>11.399999999999999</v>
      </c>
      <c r="BG61" s="28">
        <f t="shared" si="15"/>
        <v>4.7404336679843206</v>
      </c>
      <c r="BH61" s="31">
        <f t="shared" si="27"/>
        <v>3596972.568</v>
      </c>
      <c r="BI61" s="31">
        <f t="shared" si="17"/>
        <v>181383</v>
      </c>
      <c r="BJ61" s="40">
        <f t="shared" si="28"/>
        <v>14330.568000000001</v>
      </c>
      <c r="BK61" s="40">
        <f t="shared" si="29"/>
        <v>34462.769999999997</v>
      </c>
      <c r="BL61" s="31">
        <f t="shared" si="30"/>
        <v>3812818.338</v>
      </c>
      <c r="BM61" s="36">
        <v>3023.05</v>
      </c>
      <c r="BN61" s="37">
        <f t="shared" si="31"/>
        <v>1189.8499999999999</v>
      </c>
      <c r="BO61" s="37">
        <f t="shared" si="32"/>
        <v>60</v>
      </c>
      <c r="BP61" s="37">
        <f t="shared" si="33"/>
        <v>11.4</v>
      </c>
      <c r="BQ61" s="37">
        <f t="shared" si="34"/>
        <v>1261.25</v>
      </c>
      <c r="BR61" s="38">
        <v>1261.26</v>
      </c>
      <c r="BS61" s="37">
        <f t="shared" si="19"/>
        <v>-9.9999999999909051E-3</v>
      </c>
      <c r="BT61" s="46"/>
      <c r="BW61" s="31">
        <f t="shared" si="20"/>
        <v>120922</v>
      </c>
      <c r="BX61" s="31">
        <f t="shared" si="21"/>
        <v>60461</v>
      </c>
    </row>
    <row r="62" spans="1:76" x14ac:dyDescent="0.3">
      <c r="A62" s="47" t="s">
        <v>332</v>
      </c>
      <c r="B62" s="16" t="s">
        <v>333</v>
      </c>
      <c r="C62" s="27" t="s">
        <v>334</v>
      </c>
      <c r="D62" s="29">
        <v>45510.208518518513</v>
      </c>
      <c r="E62" s="29"/>
      <c r="F62" s="16" t="s">
        <v>122</v>
      </c>
      <c r="G62" s="16" t="s">
        <v>123</v>
      </c>
      <c r="H62" s="16" t="s">
        <v>46</v>
      </c>
      <c r="I62" s="16" t="s">
        <v>309</v>
      </c>
      <c r="J62" s="30" t="s">
        <v>125</v>
      </c>
      <c r="K62" s="16" t="s">
        <v>126</v>
      </c>
      <c r="L62" s="16">
        <f t="shared" si="22"/>
        <v>31.94</v>
      </c>
      <c r="M62" s="31">
        <v>11000000</v>
      </c>
      <c r="N62" s="31"/>
      <c r="O62" s="31"/>
      <c r="P62" s="31"/>
      <c r="Q62" s="31"/>
      <c r="R62" s="40">
        <v>1647380</v>
      </c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E62" s="31"/>
      <c r="AF62" s="32">
        <f t="shared" si="23"/>
        <v>12647380</v>
      </c>
      <c r="AI62" s="31">
        <v>1517705</v>
      </c>
      <c r="AJ62" s="31"/>
      <c r="AK62" s="31">
        <v>308100</v>
      </c>
      <c r="AL62" s="31">
        <v>505900</v>
      </c>
      <c r="AM62" s="31"/>
      <c r="AN62" s="31"/>
      <c r="AO62" s="32">
        <f t="shared" si="24"/>
        <v>2331705</v>
      </c>
      <c r="AR62" s="31">
        <v>1053949</v>
      </c>
      <c r="AS62" s="31">
        <v>1053948</v>
      </c>
      <c r="AT62" s="31">
        <v>170532</v>
      </c>
      <c r="AU62" s="32">
        <f t="shared" si="25"/>
        <v>2278429</v>
      </c>
      <c r="AV62" s="41">
        <f t="shared" si="12"/>
        <v>4670595</v>
      </c>
      <c r="AX62" s="31">
        <v>0</v>
      </c>
      <c r="AY62" s="31">
        <v>0</v>
      </c>
      <c r="AZ62" s="31">
        <v>0</v>
      </c>
      <c r="BA62" s="20">
        <v>0</v>
      </c>
      <c r="BB62" s="31">
        <v>0</v>
      </c>
      <c r="BC62" s="31">
        <f t="shared" si="13"/>
        <v>60461</v>
      </c>
      <c r="BD62" s="35">
        <f t="shared" si="26"/>
        <v>60461</v>
      </c>
      <c r="BF62" s="28">
        <f t="shared" si="14"/>
        <v>11.399999999999999</v>
      </c>
      <c r="BG62" s="28">
        <f t="shared" si="15"/>
        <v>22.914573030548613</v>
      </c>
      <c r="BH62" s="31">
        <f t="shared" si="27"/>
        <v>17387246.899999999</v>
      </c>
      <c r="BI62" s="31">
        <f t="shared" si="17"/>
        <v>181383</v>
      </c>
      <c r="BJ62" s="40">
        <f t="shared" si="28"/>
        <v>69271.899999999994</v>
      </c>
      <c r="BK62" s="40">
        <f t="shared" si="29"/>
        <v>34462.769999999997</v>
      </c>
      <c r="BL62" s="31">
        <f t="shared" si="30"/>
        <v>17603092.669999998</v>
      </c>
      <c r="BM62" s="36">
        <v>3023.05</v>
      </c>
      <c r="BN62" s="37">
        <f t="shared" si="31"/>
        <v>5751.56</v>
      </c>
      <c r="BO62" s="37">
        <f t="shared" si="32"/>
        <v>60</v>
      </c>
      <c r="BP62" s="37">
        <f t="shared" si="33"/>
        <v>11.4</v>
      </c>
      <c r="BQ62" s="37">
        <f t="shared" si="34"/>
        <v>5822.96</v>
      </c>
      <c r="BR62" s="38">
        <v>5822.98</v>
      </c>
      <c r="BS62" s="37">
        <f t="shared" si="19"/>
        <v>-1.9999999999527063E-2</v>
      </c>
      <c r="BT62" s="46"/>
      <c r="BW62" s="31">
        <f t="shared" si="20"/>
        <v>120922</v>
      </c>
      <c r="BX62" s="31">
        <f t="shared" si="21"/>
        <v>60461</v>
      </c>
    </row>
    <row r="63" spans="1:76" x14ac:dyDescent="0.3">
      <c r="A63" s="47" t="s">
        <v>335</v>
      </c>
      <c r="B63" s="16" t="s">
        <v>336</v>
      </c>
      <c r="C63" s="27" t="s">
        <v>337</v>
      </c>
      <c r="D63" s="29">
        <v>45992.208518518513</v>
      </c>
      <c r="E63" s="29"/>
      <c r="F63" s="16" t="s">
        <v>122</v>
      </c>
      <c r="G63" s="16" t="s">
        <v>123</v>
      </c>
      <c r="H63" s="16" t="s">
        <v>42</v>
      </c>
      <c r="I63" s="16" t="s">
        <v>338</v>
      </c>
      <c r="J63" s="30" t="s">
        <v>125</v>
      </c>
      <c r="K63" s="16" t="s">
        <v>126</v>
      </c>
      <c r="L63" s="16">
        <f t="shared" si="22"/>
        <v>31.94</v>
      </c>
      <c r="M63" s="31">
        <v>2700000</v>
      </c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>
        <v>249095</v>
      </c>
      <c r="AA63" s="31"/>
      <c r="AB63" s="31"/>
      <c r="AC63" s="31"/>
      <c r="AE63" s="31"/>
      <c r="AF63" s="32">
        <f t="shared" si="23"/>
        <v>2949095</v>
      </c>
      <c r="AI63" s="31">
        <v>324000</v>
      </c>
      <c r="AJ63" s="31"/>
      <c r="AK63" s="31">
        <v>65800</v>
      </c>
      <c r="AL63" s="31">
        <v>108000</v>
      </c>
      <c r="AM63" s="31"/>
      <c r="AN63" s="31"/>
      <c r="AO63" s="32">
        <f t="shared" si="24"/>
        <v>497800</v>
      </c>
      <c r="AR63" s="31">
        <v>245757</v>
      </c>
      <c r="AS63" s="31">
        <v>245757</v>
      </c>
      <c r="AT63" s="31">
        <v>40153</v>
      </c>
      <c r="AU63" s="32">
        <f t="shared" si="25"/>
        <v>531667</v>
      </c>
      <c r="AV63" s="41">
        <f t="shared" si="12"/>
        <v>1089928</v>
      </c>
      <c r="AX63" s="31">
        <v>0</v>
      </c>
      <c r="AY63" s="31">
        <v>0</v>
      </c>
      <c r="AZ63" s="31">
        <v>0</v>
      </c>
      <c r="BA63" s="20">
        <v>0</v>
      </c>
      <c r="BB63" s="31">
        <v>0</v>
      </c>
      <c r="BC63" s="31">
        <f t="shared" si="13"/>
        <v>60461</v>
      </c>
      <c r="BD63" s="35">
        <f t="shared" si="26"/>
        <v>60461</v>
      </c>
      <c r="BF63" s="28">
        <f t="shared" si="14"/>
        <v>11.399999999999999</v>
      </c>
      <c r="BG63" s="28">
        <f t="shared" si="15"/>
        <v>5.3443019467094492</v>
      </c>
      <c r="BH63" s="31">
        <f t="shared" si="27"/>
        <v>4055179.0920000002</v>
      </c>
      <c r="BI63" s="31">
        <f t="shared" si="17"/>
        <v>181383</v>
      </c>
      <c r="BJ63" s="40">
        <f t="shared" si="28"/>
        <v>16156.092000000001</v>
      </c>
      <c r="BK63" s="40">
        <f t="shared" si="29"/>
        <v>34462.769999999997</v>
      </c>
      <c r="BL63" s="31">
        <f t="shared" si="30"/>
        <v>4271024.8619999997</v>
      </c>
      <c r="BM63" s="36">
        <v>3023.05</v>
      </c>
      <c r="BN63" s="37">
        <f t="shared" si="31"/>
        <v>1341.42</v>
      </c>
      <c r="BO63" s="37">
        <f t="shared" si="32"/>
        <v>60</v>
      </c>
      <c r="BP63" s="37">
        <f t="shared" si="33"/>
        <v>11.4</v>
      </c>
      <c r="BQ63" s="37">
        <f t="shared" si="34"/>
        <v>1412.8200000000002</v>
      </c>
      <c r="BR63" s="38">
        <v>1478.98</v>
      </c>
      <c r="BS63" s="37">
        <f t="shared" si="19"/>
        <v>-66.159999999999854</v>
      </c>
      <c r="BT63" s="46" t="s">
        <v>339</v>
      </c>
      <c r="BW63" s="31">
        <f t="shared" si="20"/>
        <v>120922</v>
      </c>
      <c r="BX63" s="31">
        <f t="shared" si="21"/>
        <v>60461</v>
      </c>
    </row>
    <row r="64" spans="1:76" x14ac:dyDescent="0.3">
      <c r="A64" s="47" t="s">
        <v>340</v>
      </c>
      <c r="B64" s="16" t="s">
        <v>341</v>
      </c>
      <c r="C64" s="27" t="s">
        <v>342</v>
      </c>
      <c r="D64" s="29">
        <v>45432.208518518513</v>
      </c>
      <c r="E64" s="29"/>
      <c r="F64" s="16" t="s">
        <v>122</v>
      </c>
      <c r="G64" s="16" t="s">
        <v>123</v>
      </c>
      <c r="H64" s="16" t="s">
        <v>7</v>
      </c>
      <c r="I64" s="16" t="s">
        <v>343</v>
      </c>
      <c r="J64" s="30" t="s">
        <v>125</v>
      </c>
      <c r="K64" s="16" t="s">
        <v>126</v>
      </c>
      <c r="L64" s="16">
        <f t="shared" si="22"/>
        <v>31.94</v>
      </c>
      <c r="M64" s="31">
        <v>27765037</v>
      </c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E64" s="31"/>
      <c r="AF64" s="32">
        <f t="shared" si="23"/>
        <v>27765037</v>
      </c>
      <c r="AI64" s="31">
        <v>3331899</v>
      </c>
      <c r="AJ64" s="31">
        <v>2360099</v>
      </c>
      <c r="AK64" s="31">
        <v>676400</v>
      </c>
      <c r="AL64" s="31">
        <v>1110700</v>
      </c>
      <c r="AM64" s="31">
        <v>555400</v>
      </c>
      <c r="AN64" s="31">
        <v>833000</v>
      </c>
      <c r="AO64" s="32">
        <f t="shared" si="24"/>
        <v>8867498</v>
      </c>
      <c r="AR64" s="31">
        <v>2313753</v>
      </c>
      <c r="AS64" s="31">
        <v>2313753</v>
      </c>
      <c r="AT64" s="31">
        <v>393338</v>
      </c>
      <c r="AU64" s="32">
        <f t="shared" si="25"/>
        <v>5020844</v>
      </c>
      <c r="AV64" s="41">
        <f t="shared" si="12"/>
        <v>13948803</v>
      </c>
      <c r="AX64" s="31">
        <v>0</v>
      </c>
      <c r="AY64" s="31">
        <v>0</v>
      </c>
      <c r="AZ64" s="31">
        <v>0</v>
      </c>
      <c r="BA64" s="20">
        <v>0</v>
      </c>
      <c r="BB64" s="31">
        <v>0</v>
      </c>
      <c r="BC64" s="31">
        <f t="shared" si="13"/>
        <v>60461</v>
      </c>
      <c r="BD64" s="35">
        <f t="shared" si="26"/>
        <v>60461</v>
      </c>
      <c r="BF64" s="28">
        <f t="shared" si="14"/>
        <v>11.399999999999999</v>
      </c>
      <c r="BG64" s="28">
        <f t="shared" si="15"/>
        <v>55.194376540249088</v>
      </c>
      <c r="BH64" s="31">
        <f t="shared" si="27"/>
        <v>41880695.359999999</v>
      </c>
      <c r="BI64" s="31">
        <f t="shared" si="17"/>
        <v>181383</v>
      </c>
      <c r="BJ64" s="40">
        <f t="shared" si="28"/>
        <v>166855.36000000002</v>
      </c>
      <c r="BK64" s="40">
        <f t="shared" si="29"/>
        <v>34462.769999999997</v>
      </c>
      <c r="BL64" s="31">
        <f t="shared" si="30"/>
        <v>42096541.130000003</v>
      </c>
      <c r="BM64" s="36">
        <v>3023.05</v>
      </c>
      <c r="BN64" s="37">
        <f t="shared" si="31"/>
        <v>13853.79</v>
      </c>
      <c r="BO64" s="37">
        <f t="shared" si="32"/>
        <v>60</v>
      </c>
      <c r="BP64" s="37">
        <f t="shared" si="33"/>
        <v>11.4</v>
      </c>
      <c r="BQ64" s="37">
        <f t="shared" si="34"/>
        <v>13925.19</v>
      </c>
      <c r="BR64" s="38">
        <v>13925.21</v>
      </c>
      <c r="BS64" s="37">
        <f t="shared" si="19"/>
        <v>-1.9999999998617568E-2</v>
      </c>
      <c r="BT64" s="46"/>
      <c r="BW64" s="31">
        <f t="shared" si="20"/>
        <v>120922</v>
      </c>
      <c r="BX64" s="31">
        <f t="shared" si="21"/>
        <v>60461</v>
      </c>
    </row>
    <row r="65" spans="1:76" x14ac:dyDescent="0.3">
      <c r="A65" s="47" t="s">
        <v>344</v>
      </c>
      <c r="B65" s="16" t="s">
        <v>345</v>
      </c>
      <c r="C65" s="39" t="s">
        <v>346</v>
      </c>
      <c r="D65" s="29">
        <v>46076.208518518513</v>
      </c>
      <c r="E65" s="29"/>
      <c r="F65" s="16" t="s">
        <v>122</v>
      </c>
      <c r="G65" s="16" t="s">
        <v>123</v>
      </c>
      <c r="H65" s="16" t="s">
        <v>15</v>
      </c>
      <c r="I65" s="16" t="s">
        <v>148</v>
      </c>
      <c r="J65" s="30" t="s">
        <v>125</v>
      </c>
      <c r="K65" s="16" t="s">
        <v>126</v>
      </c>
      <c r="L65" s="16">
        <f t="shared" si="22"/>
        <v>31.94</v>
      </c>
      <c r="M65" s="31">
        <v>3200000</v>
      </c>
      <c r="N65" s="31"/>
      <c r="O65" s="31"/>
      <c r="P65" s="31"/>
      <c r="Q65" s="31"/>
      <c r="R65" s="40">
        <v>463238</v>
      </c>
      <c r="S65" s="31">
        <v>190805</v>
      </c>
      <c r="T65" s="31"/>
      <c r="U65" s="31"/>
      <c r="V65" s="31"/>
      <c r="W65" s="31"/>
      <c r="X65" s="31"/>
      <c r="Y65" s="31"/>
      <c r="Z65" s="31">
        <v>249095</v>
      </c>
      <c r="AA65" s="31"/>
      <c r="AB65" s="31"/>
      <c r="AC65" s="31"/>
      <c r="AE65" s="31"/>
      <c r="AF65" s="32">
        <f t="shared" si="23"/>
        <v>4103138</v>
      </c>
      <c r="AI65" s="31">
        <v>462538</v>
      </c>
      <c r="AJ65" s="31"/>
      <c r="AK65" s="31">
        <v>20200</v>
      </c>
      <c r="AL65" s="31">
        <v>154200</v>
      </c>
      <c r="AM65" s="31"/>
      <c r="AN65" s="31"/>
      <c r="AO65" s="32">
        <f t="shared" si="24"/>
        <v>636938</v>
      </c>
      <c r="AR65" s="31">
        <v>341929</v>
      </c>
      <c r="AS65" s="31">
        <v>341928</v>
      </c>
      <c r="AT65" s="31">
        <v>45028</v>
      </c>
      <c r="AU65" s="32">
        <f t="shared" si="25"/>
        <v>728885</v>
      </c>
      <c r="AV65" s="41">
        <f t="shared" si="12"/>
        <v>1426284</v>
      </c>
      <c r="AX65" s="31">
        <v>0</v>
      </c>
      <c r="AY65" s="31">
        <v>0</v>
      </c>
      <c r="AZ65" s="31">
        <v>0</v>
      </c>
      <c r="BA65" s="20">
        <v>0</v>
      </c>
      <c r="BB65" s="40">
        <v>73300</v>
      </c>
      <c r="BC65" s="31">
        <f t="shared" si="13"/>
        <v>60461</v>
      </c>
      <c r="BD65" s="35">
        <f t="shared" si="26"/>
        <v>133761</v>
      </c>
      <c r="BF65" s="42">
        <f t="shared" si="14"/>
        <v>11.399999999999999</v>
      </c>
      <c r="BG65" s="42">
        <f t="shared" si="15"/>
        <v>7.4133368617786664</v>
      </c>
      <c r="BH65" s="31">
        <f t="shared" si="27"/>
        <v>5625132.8880000003</v>
      </c>
      <c r="BI65" s="31">
        <f t="shared" si="17"/>
        <v>181383</v>
      </c>
      <c r="BJ65" s="31">
        <f t="shared" si="28"/>
        <v>22410.887999999999</v>
      </c>
      <c r="BK65" s="31">
        <f t="shared" si="29"/>
        <v>34462.769999999997</v>
      </c>
      <c r="BL65" s="31">
        <f t="shared" si="30"/>
        <v>5840978.6579999998</v>
      </c>
      <c r="BM65" s="36">
        <v>3023.05</v>
      </c>
      <c r="BN65" s="37">
        <f t="shared" si="31"/>
        <v>1860.75</v>
      </c>
      <c r="BO65" s="37">
        <f t="shared" si="32"/>
        <v>60</v>
      </c>
      <c r="BP65" s="37">
        <f t="shared" si="33"/>
        <v>11.4</v>
      </c>
      <c r="BQ65" s="37">
        <f t="shared" si="34"/>
        <v>1932.15</v>
      </c>
      <c r="BR65" s="38">
        <v>1932.17</v>
      </c>
      <c r="BS65" s="37">
        <f t="shared" si="19"/>
        <v>-1.999999999998181E-2</v>
      </c>
      <c r="BT65" s="46"/>
      <c r="BW65" s="31">
        <f t="shared" si="20"/>
        <v>120922</v>
      </c>
      <c r="BX65" s="31">
        <f t="shared" si="21"/>
        <v>60461</v>
      </c>
    </row>
    <row r="66" spans="1:76" x14ac:dyDescent="0.3">
      <c r="A66" s="47" t="s">
        <v>347</v>
      </c>
      <c r="B66" s="16" t="s">
        <v>348</v>
      </c>
      <c r="C66" s="27" t="s">
        <v>349</v>
      </c>
      <c r="D66" s="29">
        <v>46082.208518518513</v>
      </c>
      <c r="E66" s="29"/>
      <c r="F66" s="16" t="s">
        <v>122</v>
      </c>
      <c r="G66" s="16" t="s">
        <v>123</v>
      </c>
      <c r="H66" s="16" t="s">
        <v>17</v>
      </c>
      <c r="I66" s="16" t="s">
        <v>264</v>
      </c>
      <c r="J66" s="30" t="s">
        <v>125</v>
      </c>
      <c r="K66" s="16" t="s">
        <v>126</v>
      </c>
      <c r="L66" s="16">
        <f t="shared" si="22"/>
        <v>31.94</v>
      </c>
      <c r="M66" s="31">
        <v>5300000</v>
      </c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E66" s="31"/>
      <c r="AF66" s="32">
        <f t="shared" si="23"/>
        <v>5300000</v>
      </c>
      <c r="AI66" s="31">
        <v>636000</v>
      </c>
      <c r="AJ66" s="31"/>
      <c r="AK66" s="31">
        <v>129200</v>
      </c>
      <c r="AL66" s="31">
        <v>212000</v>
      </c>
      <c r="AM66" s="31"/>
      <c r="AN66" s="31"/>
      <c r="AO66" s="32">
        <f t="shared" si="24"/>
        <v>977200</v>
      </c>
      <c r="AR66" s="31">
        <v>441666</v>
      </c>
      <c r="AS66" s="31">
        <v>441666</v>
      </c>
      <c r="AT66" s="31">
        <v>57736</v>
      </c>
      <c r="AU66" s="32">
        <f t="shared" si="25"/>
        <v>941068</v>
      </c>
      <c r="AV66" s="41">
        <f t="shared" si="12"/>
        <v>1978729</v>
      </c>
      <c r="AX66" s="31">
        <v>0</v>
      </c>
      <c r="AY66" s="31">
        <v>0</v>
      </c>
      <c r="AZ66" s="31">
        <v>0</v>
      </c>
      <c r="BA66" s="20">
        <v>0</v>
      </c>
      <c r="BB66" s="31">
        <v>0</v>
      </c>
      <c r="BC66" s="31">
        <f t="shared" si="13"/>
        <v>60461</v>
      </c>
      <c r="BD66" s="35">
        <f t="shared" si="26"/>
        <v>60461</v>
      </c>
      <c r="BF66" s="28">
        <f t="shared" si="14"/>
        <v>11.399999999999999</v>
      </c>
      <c r="BG66" s="28">
        <f t="shared" si="15"/>
        <v>9.6309740163080324</v>
      </c>
      <c r="BH66" s="31">
        <f t="shared" si="27"/>
        <v>7307843.9160000002</v>
      </c>
      <c r="BI66" s="31">
        <f t="shared" si="17"/>
        <v>181383</v>
      </c>
      <c r="BJ66" s="40">
        <f t="shared" si="28"/>
        <v>29114.916000000001</v>
      </c>
      <c r="BK66" s="40">
        <f t="shared" si="29"/>
        <v>34462.769999999997</v>
      </c>
      <c r="BL66" s="31">
        <f t="shared" si="30"/>
        <v>7523689.6859999998</v>
      </c>
      <c r="BM66" s="36">
        <v>3023.05</v>
      </c>
      <c r="BN66" s="37">
        <f t="shared" si="31"/>
        <v>2417.37</v>
      </c>
      <c r="BO66" s="37">
        <f t="shared" si="32"/>
        <v>60</v>
      </c>
      <c r="BP66" s="37">
        <f t="shared" si="33"/>
        <v>11.4</v>
      </c>
      <c r="BQ66" s="37">
        <f t="shared" si="34"/>
        <v>2488.77</v>
      </c>
      <c r="BR66" s="38">
        <v>2488.7800000000002</v>
      </c>
      <c r="BS66" s="37">
        <f t="shared" si="19"/>
        <v>-1.0000000000218279E-2</v>
      </c>
      <c r="BT66" s="46"/>
      <c r="BW66" s="31">
        <f t="shared" si="20"/>
        <v>120922</v>
      </c>
      <c r="BX66" s="31">
        <f t="shared" si="21"/>
        <v>60461</v>
      </c>
    </row>
    <row r="67" spans="1:76" x14ac:dyDescent="0.3">
      <c r="A67" s="47" t="s">
        <v>350</v>
      </c>
      <c r="B67" s="16" t="s">
        <v>351</v>
      </c>
      <c r="C67" s="39" t="s">
        <v>352</v>
      </c>
      <c r="D67" s="29">
        <v>45597.208518518513</v>
      </c>
      <c r="E67" s="29"/>
      <c r="F67" s="16" t="s">
        <v>122</v>
      </c>
      <c r="G67" s="16" t="s">
        <v>123</v>
      </c>
      <c r="H67" s="16" t="s">
        <v>15</v>
      </c>
      <c r="I67" s="16" t="s">
        <v>148</v>
      </c>
      <c r="J67" s="30" t="s">
        <v>125</v>
      </c>
      <c r="K67" s="16" t="s">
        <v>126</v>
      </c>
      <c r="L67" s="16">
        <f t="shared" si="22"/>
        <v>31.94</v>
      </c>
      <c r="M67" s="40">
        <v>3803505</v>
      </c>
      <c r="N67" s="31"/>
      <c r="O67" s="31"/>
      <c r="P67" s="31"/>
      <c r="Q67" s="31"/>
      <c r="R67" s="40">
        <v>550095</v>
      </c>
      <c r="S67" s="31">
        <v>23400</v>
      </c>
      <c r="T67" s="31"/>
      <c r="U67" s="31"/>
      <c r="V67" s="31"/>
      <c r="W67" s="31"/>
      <c r="X67" s="31"/>
      <c r="Y67" s="31"/>
      <c r="Z67" s="31"/>
      <c r="AA67" s="31"/>
      <c r="AB67" s="31"/>
      <c r="AC67" s="31"/>
      <c r="AE67" s="31"/>
      <c r="AF67" s="32">
        <f t="shared" si="23"/>
        <v>4377000</v>
      </c>
      <c r="AI67" s="31">
        <v>526208</v>
      </c>
      <c r="AJ67" s="31"/>
      <c r="AK67" s="31">
        <v>22200</v>
      </c>
      <c r="AL67" s="31">
        <v>175200</v>
      </c>
      <c r="AM67" s="31"/>
      <c r="AN67" s="31"/>
      <c r="AO67" s="32">
        <f t="shared" si="24"/>
        <v>723608</v>
      </c>
      <c r="AR67" s="31">
        <v>364458</v>
      </c>
      <c r="AS67" s="31">
        <v>364458</v>
      </c>
      <c r="AT67" s="31">
        <v>62017</v>
      </c>
      <c r="AU67" s="32">
        <f t="shared" si="25"/>
        <v>790933</v>
      </c>
      <c r="AV67" s="41">
        <f t="shared" si="12"/>
        <v>1575002</v>
      </c>
      <c r="AX67" s="31">
        <v>0</v>
      </c>
      <c r="AY67" s="31">
        <v>0</v>
      </c>
      <c r="AZ67" s="31">
        <v>0</v>
      </c>
      <c r="BA67" s="20">
        <v>0</v>
      </c>
      <c r="BB67" s="31">
        <v>0</v>
      </c>
      <c r="BC67" s="31">
        <f t="shared" si="13"/>
        <v>60461</v>
      </c>
      <c r="BD67" s="35">
        <f t="shared" si="26"/>
        <v>60461</v>
      </c>
      <c r="BF67" s="42">
        <f t="shared" si="14"/>
        <v>11.399999999999999</v>
      </c>
      <c r="BG67" s="42">
        <f t="shared" si="15"/>
        <v>7.8754926316137679</v>
      </c>
      <c r="BH67" s="31">
        <f t="shared" si="27"/>
        <v>5975810.0080000004</v>
      </c>
      <c r="BI67" s="31">
        <f t="shared" si="17"/>
        <v>181383</v>
      </c>
      <c r="BJ67" s="31">
        <f t="shared" si="28"/>
        <v>23808.008000000002</v>
      </c>
      <c r="BK67" s="31">
        <f t="shared" si="29"/>
        <v>34462.769999999997</v>
      </c>
      <c r="BL67" s="31">
        <f t="shared" si="30"/>
        <v>6191655.7779999999</v>
      </c>
      <c r="BM67" s="36">
        <v>3023.05</v>
      </c>
      <c r="BN67" s="37">
        <f t="shared" si="31"/>
        <v>1976.75</v>
      </c>
      <c r="BO67" s="37">
        <f t="shared" si="32"/>
        <v>60</v>
      </c>
      <c r="BP67" s="37">
        <f t="shared" si="33"/>
        <v>11.4</v>
      </c>
      <c r="BQ67" s="37">
        <f t="shared" si="34"/>
        <v>2048.15</v>
      </c>
      <c r="BR67" s="38">
        <v>2048.17</v>
      </c>
      <c r="BS67" s="37">
        <f t="shared" si="19"/>
        <v>-1.999999999998181E-2</v>
      </c>
      <c r="BT67" s="46"/>
      <c r="BW67" s="31">
        <f t="shared" si="20"/>
        <v>120922</v>
      </c>
      <c r="BX67" s="31">
        <f t="shared" si="21"/>
        <v>60461</v>
      </c>
    </row>
    <row r="68" spans="1:76" x14ac:dyDescent="0.3">
      <c r="A68" s="47" t="s">
        <v>353</v>
      </c>
      <c r="B68" s="16" t="s">
        <v>354</v>
      </c>
      <c r="C68" s="39" t="s">
        <v>355</v>
      </c>
      <c r="D68" s="29">
        <v>45551.208518518513</v>
      </c>
      <c r="E68" s="29"/>
      <c r="F68" s="16" t="s">
        <v>122</v>
      </c>
      <c r="G68" s="16" t="s">
        <v>123</v>
      </c>
      <c r="H68" s="16" t="s">
        <v>32</v>
      </c>
      <c r="I68" s="16" t="s">
        <v>156</v>
      </c>
      <c r="J68" s="30" t="s">
        <v>125</v>
      </c>
      <c r="K68" s="16" t="s">
        <v>126</v>
      </c>
      <c r="L68" s="16">
        <f t="shared" ref="L68:L99" si="35">IF(AL68&gt;0,31.94,14.44)</f>
        <v>31.94</v>
      </c>
      <c r="M68" s="40">
        <v>7043264</v>
      </c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E68" s="31"/>
      <c r="AF68" s="32">
        <f t="shared" ref="AF68:AF99" si="36">SUM(M68,O68,P68,Q68,R68,S68,T68,U68,V68,W68,X68,Y68,Z68,AA68,AB68,AC68,N68,AE68,AD68)</f>
        <v>7043264</v>
      </c>
      <c r="AI68" s="31">
        <v>845269</v>
      </c>
      <c r="AJ68" s="31"/>
      <c r="AK68" s="31">
        <v>36800</v>
      </c>
      <c r="AL68" s="31">
        <v>281800</v>
      </c>
      <c r="AM68" s="31"/>
      <c r="AN68" s="31"/>
      <c r="AO68" s="32">
        <f t="shared" ref="AO68:AO99" si="37">SUM(AL68,AJ68,AN68,AK68,AM68,AI68)</f>
        <v>1163869</v>
      </c>
      <c r="AR68" s="31">
        <v>586939</v>
      </c>
      <c r="AS68" s="31">
        <v>586939</v>
      </c>
      <c r="AT68" s="31">
        <v>99314</v>
      </c>
      <c r="AU68" s="32">
        <f t="shared" ref="AU68:AU99" si="38">SUM(AR68,AS68,AT68)</f>
        <v>1273192</v>
      </c>
      <c r="AV68" s="41">
        <f t="shared" si="12"/>
        <v>2497522</v>
      </c>
      <c r="AX68" s="31">
        <v>0</v>
      </c>
      <c r="AY68" s="31">
        <v>0</v>
      </c>
      <c r="AZ68" s="31">
        <v>0</v>
      </c>
      <c r="BA68" s="20">
        <v>0</v>
      </c>
      <c r="BB68" s="31">
        <v>0</v>
      </c>
      <c r="BC68" s="31">
        <f t="shared" si="13"/>
        <v>60461</v>
      </c>
      <c r="BD68" s="35">
        <f t="shared" ref="BD68:BD99" si="39">SUM(AX68,AY68,AZ68,BA68,BB68,BC68,AD68)</f>
        <v>60461</v>
      </c>
      <c r="BF68" s="42">
        <f t="shared" si="14"/>
        <v>11.399999999999999</v>
      </c>
      <c r="BG68" s="42">
        <f t="shared" si="15"/>
        <v>12.624053191313408</v>
      </c>
      <c r="BH68" s="31">
        <f t="shared" ref="BH68:BH99" si="40">SUM(AF68,AO68,AU68,BD68,BJ68)</f>
        <v>9578949.1439999994</v>
      </c>
      <c r="BI68" s="31">
        <f t="shared" si="17"/>
        <v>181383</v>
      </c>
      <c r="BJ68" s="31">
        <f t="shared" ref="BJ68:BJ99" si="41">(AF68+AO68+AU68+BD68)*0.004</f>
        <v>38163.144</v>
      </c>
      <c r="BK68" s="31">
        <f t="shared" ref="BK68:BK99" si="42">BI68*0.19</f>
        <v>34462.769999999997</v>
      </c>
      <c r="BL68" s="31">
        <f t="shared" ref="BL68:BL99" si="43">SUM(BH68,BI68,BK68)</f>
        <v>9794794.9139999989</v>
      </c>
      <c r="BM68" s="36">
        <v>3023.05</v>
      </c>
      <c r="BN68" s="37">
        <f t="shared" ref="BN68:BN99" si="44">ROUND(BH68/BM68,2)</f>
        <v>3168.64</v>
      </c>
      <c r="BO68" s="37">
        <f t="shared" ref="BO68:BO99" si="45">ROUND(BI68/BM68,2)</f>
        <v>60</v>
      </c>
      <c r="BP68" s="37">
        <f t="shared" ref="BP68:BP99" si="46">ROUND(BK68/BM68,2)</f>
        <v>11.4</v>
      </c>
      <c r="BQ68" s="37">
        <f t="shared" ref="BQ68:BQ99" si="47">SUM(BN68,BO68,BP68)</f>
        <v>3240.04</v>
      </c>
      <c r="BR68" s="38">
        <v>3240.05</v>
      </c>
      <c r="BS68" s="37">
        <f t="shared" si="19"/>
        <v>-1.0000000000218279E-2</v>
      </c>
      <c r="BT68" s="46"/>
      <c r="BW68" s="31">
        <f t="shared" si="20"/>
        <v>120922</v>
      </c>
      <c r="BX68" s="31">
        <f t="shared" si="21"/>
        <v>60461</v>
      </c>
    </row>
    <row r="69" spans="1:76" x14ac:dyDescent="0.3">
      <c r="A69" s="47" t="s">
        <v>356</v>
      </c>
      <c r="B69" s="16" t="s">
        <v>357</v>
      </c>
      <c r="C69" s="27" t="s">
        <v>358</v>
      </c>
      <c r="D69" s="29">
        <v>45761.208518518513</v>
      </c>
      <c r="E69" s="29"/>
      <c r="F69" s="16" t="s">
        <v>122</v>
      </c>
      <c r="G69" s="16" t="s">
        <v>123</v>
      </c>
      <c r="H69" s="16" t="s">
        <v>40</v>
      </c>
      <c r="I69" s="16" t="s">
        <v>144</v>
      </c>
      <c r="J69" s="30" t="s">
        <v>125</v>
      </c>
      <c r="K69" s="16" t="s">
        <v>126</v>
      </c>
      <c r="L69" s="16">
        <f t="shared" si="35"/>
        <v>31.94</v>
      </c>
      <c r="M69" s="31">
        <v>4500000</v>
      </c>
      <c r="N69" s="31"/>
      <c r="O69" s="31"/>
      <c r="P69" s="31"/>
      <c r="Q69" s="31"/>
      <c r="R69" s="31"/>
      <c r="S69" s="31"/>
      <c r="T69" s="31"/>
      <c r="U69" s="31">
        <v>170000</v>
      </c>
      <c r="V69" s="31"/>
      <c r="W69" s="31"/>
      <c r="X69" s="31"/>
      <c r="Y69" s="31"/>
      <c r="Z69" s="31"/>
      <c r="AA69" s="31">
        <v>109000</v>
      </c>
      <c r="AB69" s="31"/>
      <c r="AC69" s="31"/>
      <c r="AE69" s="31"/>
      <c r="AF69" s="32">
        <f t="shared" si="36"/>
        <v>4779000</v>
      </c>
      <c r="AI69" s="31">
        <v>540000</v>
      </c>
      <c r="AJ69" s="31"/>
      <c r="AK69" s="31">
        <v>109700</v>
      </c>
      <c r="AL69" s="31">
        <v>180000</v>
      </c>
      <c r="AM69" s="31"/>
      <c r="AN69" s="31"/>
      <c r="AO69" s="32">
        <f t="shared" si="37"/>
        <v>829700</v>
      </c>
      <c r="AR69" s="31">
        <v>375000</v>
      </c>
      <c r="AS69" s="31">
        <v>375000</v>
      </c>
      <c r="AT69" s="31">
        <v>65625</v>
      </c>
      <c r="AU69" s="32">
        <f t="shared" si="38"/>
        <v>815625</v>
      </c>
      <c r="AV69" s="41">
        <f t="shared" ref="AV69:AV132" si="48">SUM(AO69,AU69,BC69)</f>
        <v>1705786</v>
      </c>
      <c r="AX69" s="31">
        <v>0</v>
      </c>
      <c r="AY69" s="31">
        <v>454263</v>
      </c>
      <c r="AZ69" s="31">
        <v>0</v>
      </c>
      <c r="BA69" s="20">
        <v>0</v>
      </c>
      <c r="BB69" s="31">
        <v>0</v>
      </c>
      <c r="BC69" s="31">
        <f t="shared" ref="BC69:BC132" si="49">$BM$4*20</f>
        <v>60461</v>
      </c>
      <c r="BD69" s="35">
        <f t="shared" si="39"/>
        <v>514724</v>
      </c>
      <c r="BF69" s="28">
        <f t="shared" ref="BF69:BF132" si="50">BK69/$BM$4</f>
        <v>11.399999999999999</v>
      </c>
      <c r="BG69" s="28">
        <f t="shared" ref="BG69:BG132" si="51">BJ69/$BM$4</f>
        <v>9.1815206496749973</v>
      </c>
      <c r="BH69" s="31">
        <f t="shared" si="40"/>
        <v>6966805.1960000005</v>
      </c>
      <c r="BI69" s="31">
        <f t="shared" ref="BI69:BI132" si="52">60*BM69</f>
        <v>181383</v>
      </c>
      <c r="BJ69" s="31">
        <f t="shared" si="41"/>
        <v>27756.196</v>
      </c>
      <c r="BK69" s="31">
        <f t="shared" si="42"/>
        <v>34462.769999999997</v>
      </c>
      <c r="BL69" s="31">
        <f t="shared" si="43"/>
        <v>7182650.966</v>
      </c>
      <c r="BM69" s="36">
        <v>3023.05</v>
      </c>
      <c r="BN69" s="37">
        <f t="shared" si="44"/>
        <v>2304.56</v>
      </c>
      <c r="BO69" s="37">
        <f t="shared" si="45"/>
        <v>60</v>
      </c>
      <c r="BP69" s="37">
        <f t="shared" si="46"/>
        <v>11.4</v>
      </c>
      <c r="BQ69" s="37">
        <f t="shared" si="47"/>
        <v>2375.96</v>
      </c>
      <c r="BR69" s="38">
        <v>2375.9899999999998</v>
      </c>
      <c r="BS69" s="37">
        <f t="shared" ref="BS69:BS132" si="53">BQ69-BR69</f>
        <v>-2.9999999999745341E-2</v>
      </c>
      <c r="BT69" s="46"/>
      <c r="BW69" s="31">
        <f t="shared" ref="BW69:BW132" si="54">BM69*40</f>
        <v>120922</v>
      </c>
      <c r="BX69" s="31">
        <f t="shared" ref="BX69:BX132" si="55">BW69-BC69</f>
        <v>60461</v>
      </c>
    </row>
    <row r="70" spans="1:76" x14ac:dyDescent="0.3">
      <c r="A70" s="47" t="s">
        <v>359</v>
      </c>
      <c r="B70" s="16" t="s">
        <v>360</v>
      </c>
      <c r="C70" s="27" t="s">
        <v>361</v>
      </c>
      <c r="D70" s="29">
        <v>46082.208518518513</v>
      </c>
      <c r="E70" s="29"/>
      <c r="F70" s="16" t="s">
        <v>122</v>
      </c>
      <c r="G70" s="16" t="s">
        <v>123</v>
      </c>
      <c r="H70" s="16" t="s">
        <v>17</v>
      </c>
      <c r="I70" s="16" t="s">
        <v>264</v>
      </c>
      <c r="J70" s="30" t="s">
        <v>125</v>
      </c>
      <c r="K70" s="16" t="s">
        <v>126</v>
      </c>
      <c r="L70" s="16">
        <f t="shared" si="35"/>
        <v>31.94</v>
      </c>
      <c r="M70" s="31">
        <v>5300000</v>
      </c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E70" s="31"/>
      <c r="AF70" s="32">
        <f t="shared" si="36"/>
        <v>5300000</v>
      </c>
      <c r="AI70" s="31">
        <v>636000</v>
      </c>
      <c r="AJ70" s="31"/>
      <c r="AK70" s="31">
        <v>129200</v>
      </c>
      <c r="AL70" s="31">
        <v>212000</v>
      </c>
      <c r="AM70" s="31"/>
      <c r="AN70" s="31"/>
      <c r="AO70" s="32">
        <f t="shared" si="37"/>
        <v>977200</v>
      </c>
      <c r="AR70" s="31">
        <v>441666</v>
      </c>
      <c r="AS70" s="31">
        <v>441666</v>
      </c>
      <c r="AT70" s="31">
        <v>57736</v>
      </c>
      <c r="AU70" s="32">
        <f t="shared" si="38"/>
        <v>941068</v>
      </c>
      <c r="AV70" s="41">
        <f t="shared" si="48"/>
        <v>1978729</v>
      </c>
      <c r="AX70" s="31">
        <v>0</v>
      </c>
      <c r="AY70" s="31">
        <v>0</v>
      </c>
      <c r="AZ70" s="31">
        <v>0</v>
      </c>
      <c r="BA70" s="20">
        <v>0</v>
      </c>
      <c r="BB70" s="31">
        <v>0</v>
      </c>
      <c r="BC70" s="31">
        <f t="shared" si="49"/>
        <v>60461</v>
      </c>
      <c r="BD70" s="35">
        <f t="shared" si="39"/>
        <v>60461</v>
      </c>
      <c r="BF70" s="28">
        <f t="shared" si="50"/>
        <v>11.399999999999999</v>
      </c>
      <c r="BG70" s="28">
        <f t="shared" si="51"/>
        <v>9.6309740163080324</v>
      </c>
      <c r="BH70" s="31">
        <f t="shared" si="40"/>
        <v>7307843.9160000002</v>
      </c>
      <c r="BI70" s="31">
        <f t="shared" si="52"/>
        <v>181383</v>
      </c>
      <c r="BJ70" s="40">
        <f t="shared" si="41"/>
        <v>29114.916000000001</v>
      </c>
      <c r="BK70" s="40">
        <f t="shared" si="42"/>
        <v>34462.769999999997</v>
      </c>
      <c r="BL70" s="31">
        <f t="shared" si="43"/>
        <v>7523689.6859999998</v>
      </c>
      <c r="BM70" s="36">
        <v>3023.05</v>
      </c>
      <c r="BN70" s="37">
        <f t="shared" si="44"/>
        <v>2417.37</v>
      </c>
      <c r="BO70" s="37">
        <f t="shared" si="45"/>
        <v>60</v>
      </c>
      <c r="BP70" s="37">
        <f t="shared" si="46"/>
        <v>11.4</v>
      </c>
      <c r="BQ70" s="37">
        <f t="shared" si="47"/>
        <v>2488.77</v>
      </c>
      <c r="BR70" s="38">
        <v>2488.7800000000002</v>
      </c>
      <c r="BS70" s="37">
        <f t="shared" si="53"/>
        <v>-1.0000000000218279E-2</v>
      </c>
      <c r="BT70" s="46"/>
      <c r="BW70" s="31">
        <f t="shared" si="54"/>
        <v>120922</v>
      </c>
      <c r="BX70" s="31">
        <f t="shared" si="55"/>
        <v>60461</v>
      </c>
    </row>
    <row r="71" spans="1:76" x14ac:dyDescent="0.3">
      <c r="A71" s="47" t="s">
        <v>362</v>
      </c>
      <c r="B71" s="16" t="s">
        <v>363</v>
      </c>
      <c r="C71" s="39" t="s">
        <v>364</v>
      </c>
      <c r="D71" s="29">
        <v>46237.208518518513</v>
      </c>
      <c r="E71" s="29"/>
      <c r="F71" s="16" t="s">
        <v>122</v>
      </c>
      <c r="G71" s="16" t="s">
        <v>123</v>
      </c>
      <c r="H71" s="16" t="s">
        <v>43</v>
      </c>
      <c r="I71" s="16" t="s">
        <v>140</v>
      </c>
      <c r="J71" s="30" t="s">
        <v>125</v>
      </c>
      <c r="K71" s="16" t="s">
        <v>126</v>
      </c>
      <c r="L71" s="16">
        <f t="shared" si="35"/>
        <v>31.94</v>
      </c>
      <c r="M71" s="31">
        <v>2300000</v>
      </c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40">
        <v>207579</v>
      </c>
      <c r="AA71" s="31"/>
      <c r="AB71" s="31"/>
      <c r="AC71" s="31"/>
      <c r="AE71" s="31"/>
      <c r="AF71" s="32">
        <f t="shared" si="36"/>
        <v>2507579</v>
      </c>
      <c r="AI71" s="31">
        <v>276100</v>
      </c>
      <c r="AJ71" s="31"/>
      <c r="AK71" s="31">
        <v>10100</v>
      </c>
      <c r="AL71" s="31">
        <v>92100</v>
      </c>
      <c r="AM71" s="31"/>
      <c r="AN71" s="31"/>
      <c r="AO71" s="32">
        <f t="shared" si="37"/>
        <v>378300</v>
      </c>
      <c r="AR71" s="31">
        <v>208965</v>
      </c>
      <c r="AS71" s="31">
        <v>208965</v>
      </c>
      <c r="AT71" s="31">
        <v>6023</v>
      </c>
      <c r="AU71" s="32">
        <f t="shared" si="38"/>
        <v>423953</v>
      </c>
      <c r="AV71" s="41">
        <f t="shared" si="48"/>
        <v>862714</v>
      </c>
      <c r="AX71" s="31">
        <v>0</v>
      </c>
      <c r="AY71" s="31">
        <v>0</v>
      </c>
      <c r="AZ71" s="31">
        <v>0</v>
      </c>
      <c r="BA71" s="20">
        <v>0</v>
      </c>
      <c r="BB71" s="31">
        <v>0</v>
      </c>
      <c r="BC71" s="31">
        <f t="shared" si="49"/>
        <v>60461</v>
      </c>
      <c r="BD71" s="35">
        <f t="shared" si="39"/>
        <v>60461</v>
      </c>
      <c r="BF71" s="42">
        <f t="shared" si="50"/>
        <v>11.399999999999999</v>
      </c>
      <c r="BG71" s="42">
        <f t="shared" si="51"/>
        <v>4.4594604786556626</v>
      </c>
      <c r="BH71" s="31">
        <f t="shared" si="40"/>
        <v>3383774.1719999998</v>
      </c>
      <c r="BI71" s="31">
        <f t="shared" si="52"/>
        <v>181383</v>
      </c>
      <c r="BJ71" s="31">
        <f t="shared" si="41"/>
        <v>13481.172</v>
      </c>
      <c r="BK71" s="31">
        <f t="shared" si="42"/>
        <v>34462.769999999997</v>
      </c>
      <c r="BL71" s="31">
        <f t="shared" si="43"/>
        <v>3599619.9419999998</v>
      </c>
      <c r="BM71" s="36">
        <v>3023.05</v>
      </c>
      <c r="BN71" s="37">
        <f t="shared" si="44"/>
        <v>1119.32</v>
      </c>
      <c r="BO71" s="37">
        <f t="shared" si="45"/>
        <v>60</v>
      </c>
      <c r="BP71" s="37">
        <f t="shared" si="46"/>
        <v>11.4</v>
      </c>
      <c r="BQ71" s="37">
        <f t="shared" si="47"/>
        <v>1190.72</v>
      </c>
      <c r="BR71" s="38">
        <v>1190.74</v>
      </c>
      <c r="BS71" s="37">
        <f t="shared" si="53"/>
        <v>-1.999999999998181E-2</v>
      </c>
      <c r="BT71" s="46"/>
      <c r="BW71" s="31">
        <f t="shared" si="54"/>
        <v>120922</v>
      </c>
      <c r="BX71" s="31">
        <f t="shared" si="55"/>
        <v>60461</v>
      </c>
    </row>
    <row r="72" spans="1:76" x14ac:dyDescent="0.3">
      <c r="A72" s="47" t="s">
        <v>365</v>
      </c>
      <c r="B72" s="16" t="s">
        <v>366</v>
      </c>
      <c r="C72" s="27" t="s">
        <v>367</v>
      </c>
      <c r="D72" s="29">
        <v>46205.208518518513</v>
      </c>
      <c r="E72" s="29"/>
      <c r="F72" s="16" t="s">
        <v>122</v>
      </c>
      <c r="G72" s="16" t="s">
        <v>123</v>
      </c>
      <c r="H72" s="16" t="s">
        <v>27</v>
      </c>
      <c r="I72" s="16" t="s">
        <v>175</v>
      </c>
      <c r="J72" s="30" t="s">
        <v>125</v>
      </c>
      <c r="K72" s="16" t="s">
        <v>126</v>
      </c>
      <c r="L72" s="16">
        <f t="shared" si="35"/>
        <v>31.94</v>
      </c>
      <c r="M72" s="31">
        <v>3711423</v>
      </c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E72" s="31"/>
      <c r="AF72" s="32">
        <f t="shared" si="36"/>
        <v>3711423</v>
      </c>
      <c r="AI72" s="31">
        <v>445443</v>
      </c>
      <c r="AJ72" s="31"/>
      <c r="AK72" s="31">
        <v>19400</v>
      </c>
      <c r="AL72" s="31">
        <v>148500</v>
      </c>
      <c r="AM72" s="31"/>
      <c r="AN72" s="31"/>
      <c r="AO72" s="32">
        <f t="shared" si="37"/>
        <v>613343</v>
      </c>
      <c r="AR72" s="31">
        <v>309285</v>
      </c>
      <c r="AS72" s="31">
        <v>309285</v>
      </c>
      <c r="AT72" s="31">
        <v>15259</v>
      </c>
      <c r="AU72" s="32">
        <f t="shared" si="38"/>
        <v>633829</v>
      </c>
      <c r="AV72" s="41">
        <f t="shared" si="48"/>
        <v>1307633</v>
      </c>
      <c r="AX72" s="31">
        <v>0</v>
      </c>
      <c r="AY72" s="31">
        <v>0</v>
      </c>
      <c r="AZ72" s="31">
        <v>0</v>
      </c>
      <c r="BA72" s="20">
        <v>0</v>
      </c>
      <c r="BB72" s="31">
        <v>0</v>
      </c>
      <c r="BC72" s="31">
        <f t="shared" si="49"/>
        <v>60461</v>
      </c>
      <c r="BD72" s="35">
        <f t="shared" si="39"/>
        <v>60461</v>
      </c>
      <c r="BF72" s="28">
        <f t="shared" si="50"/>
        <v>11.399999999999999</v>
      </c>
      <c r="BG72" s="28">
        <f t="shared" si="51"/>
        <v>6.6410492714311706</v>
      </c>
      <c r="BH72" s="31">
        <f t="shared" si="40"/>
        <v>5039132.2240000004</v>
      </c>
      <c r="BI72" s="31">
        <f t="shared" si="52"/>
        <v>181383</v>
      </c>
      <c r="BJ72" s="40">
        <f t="shared" si="41"/>
        <v>20076.224000000002</v>
      </c>
      <c r="BK72" s="40">
        <f t="shared" si="42"/>
        <v>34462.769999999997</v>
      </c>
      <c r="BL72" s="31">
        <f t="shared" si="43"/>
        <v>5254977.9939999999</v>
      </c>
      <c r="BM72" s="36">
        <v>3023.05</v>
      </c>
      <c r="BN72" s="37">
        <f t="shared" si="44"/>
        <v>1666.9</v>
      </c>
      <c r="BO72" s="37">
        <f t="shared" si="45"/>
        <v>60</v>
      </c>
      <c r="BP72" s="37">
        <f t="shared" si="46"/>
        <v>11.4</v>
      </c>
      <c r="BQ72" s="37">
        <f t="shared" si="47"/>
        <v>1738.3000000000002</v>
      </c>
      <c r="BR72" s="38">
        <v>1738.31</v>
      </c>
      <c r="BS72" s="37">
        <f t="shared" si="53"/>
        <v>-9.9999999997635314E-3</v>
      </c>
      <c r="BT72" s="46"/>
      <c r="BW72" s="31">
        <f t="shared" si="54"/>
        <v>120922</v>
      </c>
      <c r="BX72" s="31">
        <f t="shared" si="55"/>
        <v>60461</v>
      </c>
    </row>
    <row r="73" spans="1:76" x14ac:dyDescent="0.3">
      <c r="A73" s="47" t="s">
        <v>368</v>
      </c>
      <c r="B73" s="16" t="s">
        <v>369</v>
      </c>
      <c r="C73" s="27" t="s">
        <v>370</v>
      </c>
      <c r="D73" s="29">
        <v>46160.208518518513</v>
      </c>
      <c r="E73" s="29"/>
      <c r="F73" s="16" t="s">
        <v>122</v>
      </c>
      <c r="G73" s="16" t="s">
        <v>123</v>
      </c>
      <c r="H73" s="16" t="s">
        <v>16</v>
      </c>
      <c r="I73" s="16" t="s">
        <v>371</v>
      </c>
      <c r="J73" s="30" t="s">
        <v>125</v>
      </c>
      <c r="K73" s="16" t="s">
        <v>126</v>
      </c>
      <c r="L73" s="16">
        <f t="shared" si="35"/>
        <v>31.94</v>
      </c>
      <c r="M73" s="31">
        <v>6850000</v>
      </c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E73" s="31"/>
      <c r="AF73" s="32">
        <f t="shared" si="36"/>
        <v>6850000</v>
      </c>
      <c r="AI73" s="31">
        <v>822000</v>
      </c>
      <c r="AJ73" s="31"/>
      <c r="AK73" s="31">
        <v>35800</v>
      </c>
      <c r="AL73" s="31">
        <v>274000</v>
      </c>
      <c r="AM73" s="31"/>
      <c r="AN73" s="31"/>
      <c r="AO73" s="32">
        <f t="shared" si="37"/>
        <v>1131800</v>
      </c>
      <c r="AR73" s="31">
        <v>570833</v>
      </c>
      <c r="AS73" s="31">
        <v>570833</v>
      </c>
      <c r="AT73" s="31">
        <v>44905</v>
      </c>
      <c r="AU73" s="32">
        <f t="shared" si="38"/>
        <v>1186571</v>
      </c>
      <c r="AV73" s="41">
        <f t="shared" si="48"/>
        <v>2378832</v>
      </c>
      <c r="AX73" s="31">
        <v>0</v>
      </c>
      <c r="AY73" s="31">
        <v>0</v>
      </c>
      <c r="AZ73" s="31">
        <v>0</v>
      </c>
      <c r="BA73" s="20">
        <v>0</v>
      </c>
      <c r="BB73" s="31">
        <v>0</v>
      </c>
      <c r="BC73" s="31">
        <f t="shared" si="49"/>
        <v>60461</v>
      </c>
      <c r="BD73" s="35">
        <f t="shared" si="39"/>
        <v>60461</v>
      </c>
      <c r="BF73" s="28">
        <f t="shared" si="50"/>
        <v>11.399999999999999</v>
      </c>
      <c r="BG73" s="28">
        <f t="shared" si="51"/>
        <v>12.211285952928334</v>
      </c>
      <c r="BH73" s="31">
        <f t="shared" si="40"/>
        <v>9265747.3279999997</v>
      </c>
      <c r="BI73" s="31">
        <f t="shared" si="52"/>
        <v>181383</v>
      </c>
      <c r="BJ73" s="40">
        <f t="shared" si="41"/>
        <v>36915.328000000001</v>
      </c>
      <c r="BK73" s="40">
        <f t="shared" si="42"/>
        <v>34462.769999999997</v>
      </c>
      <c r="BL73" s="31">
        <f t="shared" si="43"/>
        <v>9481593.0979999993</v>
      </c>
      <c r="BM73" s="36">
        <v>3023.05</v>
      </c>
      <c r="BN73" s="37">
        <f t="shared" si="44"/>
        <v>3065.03</v>
      </c>
      <c r="BO73" s="37">
        <f t="shared" si="45"/>
        <v>60</v>
      </c>
      <c r="BP73" s="37">
        <f t="shared" si="46"/>
        <v>11.4</v>
      </c>
      <c r="BQ73" s="37">
        <f t="shared" si="47"/>
        <v>3136.4300000000003</v>
      </c>
      <c r="BR73" s="38">
        <v>3136.44</v>
      </c>
      <c r="BS73" s="37">
        <f t="shared" si="53"/>
        <v>-9.9999999997635314E-3</v>
      </c>
      <c r="BT73" s="46"/>
      <c r="BW73" s="31">
        <f t="shared" si="54"/>
        <v>120922</v>
      </c>
      <c r="BX73" s="31">
        <f t="shared" si="55"/>
        <v>60461</v>
      </c>
    </row>
    <row r="74" spans="1:76" x14ac:dyDescent="0.3">
      <c r="A74" s="47" t="s">
        <v>372</v>
      </c>
      <c r="B74" s="16" t="s">
        <v>373</v>
      </c>
      <c r="C74" s="39" t="s">
        <v>374</v>
      </c>
      <c r="D74" s="29">
        <v>46224.208518518513</v>
      </c>
      <c r="E74" s="29"/>
      <c r="F74" s="16" t="s">
        <v>122</v>
      </c>
      <c r="G74" s="16" t="s">
        <v>123</v>
      </c>
      <c r="H74" s="16" t="s">
        <v>43</v>
      </c>
      <c r="I74" s="16" t="s">
        <v>140</v>
      </c>
      <c r="J74" s="30" t="s">
        <v>125</v>
      </c>
      <c r="K74" s="16" t="s">
        <v>126</v>
      </c>
      <c r="L74" s="16">
        <f t="shared" si="35"/>
        <v>31.94</v>
      </c>
      <c r="M74" s="31">
        <v>4000000</v>
      </c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E74" s="31"/>
      <c r="AF74" s="32">
        <f t="shared" si="36"/>
        <v>4000000</v>
      </c>
      <c r="AI74" s="31">
        <v>480000</v>
      </c>
      <c r="AJ74" s="31"/>
      <c r="AK74" s="31">
        <v>20900</v>
      </c>
      <c r="AL74" s="31">
        <v>160000</v>
      </c>
      <c r="AM74" s="31"/>
      <c r="AN74" s="31"/>
      <c r="AO74" s="32">
        <f t="shared" si="37"/>
        <v>660900</v>
      </c>
      <c r="AR74" s="31">
        <v>333334</v>
      </c>
      <c r="AS74" s="31">
        <v>333334</v>
      </c>
      <c r="AT74" s="31">
        <v>12222</v>
      </c>
      <c r="AU74" s="32">
        <f t="shared" si="38"/>
        <v>678890</v>
      </c>
      <c r="AV74" s="41">
        <f t="shared" si="48"/>
        <v>1400251</v>
      </c>
      <c r="AX74" s="31">
        <v>0</v>
      </c>
      <c r="AY74" s="31">
        <v>0</v>
      </c>
      <c r="AZ74" s="31">
        <v>0</v>
      </c>
      <c r="BA74" s="20">
        <v>0</v>
      </c>
      <c r="BB74" s="31">
        <v>0</v>
      </c>
      <c r="BC74" s="31">
        <f t="shared" si="49"/>
        <v>60461</v>
      </c>
      <c r="BD74" s="35">
        <f t="shared" si="39"/>
        <v>60461</v>
      </c>
      <c r="BF74" s="42">
        <f t="shared" si="50"/>
        <v>11.399999999999999</v>
      </c>
      <c r="BG74" s="42">
        <f t="shared" si="51"/>
        <v>7.1454339160781331</v>
      </c>
      <c r="BH74" s="31">
        <f t="shared" si="40"/>
        <v>5421852.0039999997</v>
      </c>
      <c r="BI74" s="31">
        <f t="shared" si="52"/>
        <v>181383</v>
      </c>
      <c r="BJ74" s="31">
        <f t="shared" si="41"/>
        <v>21601.004000000001</v>
      </c>
      <c r="BK74" s="31">
        <f t="shared" si="42"/>
        <v>34462.769999999997</v>
      </c>
      <c r="BL74" s="31">
        <f t="shared" si="43"/>
        <v>5637697.7739999993</v>
      </c>
      <c r="BM74" s="36">
        <v>3023.05</v>
      </c>
      <c r="BN74" s="37">
        <f t="shared" si="44"/>
        <v>1793.5</v>
      </c>
      <c r="BO74" s="37">
        <f t="shared" si="45"/>
        <v>60</v>
      </c>
      <c r="BP74" s="37">
        <f t="shared" si="46"/>
        <v>11.4</v>
      </c>
      <c r="BQ74" s="37">
        <f t="shared" si="47"/>
        <v>1864.9</v>
      </c>
      <c r="BR74" s="38">
        <v>1864.92</v>
      </c>
      <c r="BS74" s="37">
        <f t="shared" si="53"/>
        <v>-1.999999999998181E-2</v>
      </c>
      <c r="BT74" s="46"/>
      <c r="BW74" s="31">
        <f t="shared" si="54"/>
        <v>120922</v>
      </c>
      <c r="BX74" s="31">
        <f t="shared" si="55"/>
        <v>60461</v>
      </c>
    </row>
    <row r="75" spans="1:76" x14ac:dyDescent="0.3">
      <c r="A75" s="47" t="s">
        <v>375</v>
      </c>
      <c r="B75" s="16" t="s">
        <v>376</v>
      </c>
      <c r="C75" s="27" t="s">
        <v>377</v>
      </c>
      <c r="D75" s="29">
        <v>45798.208518518513</v>
      </c>
      <c r="E75" s="29"/>
      <c r="F75" s="16" t="s">
        <v>122</v>
      </c>
      <c r="G75" s="16" t="s">
        <v>123</v>
      </c>
      <c r="H75" s="16" t="s">
        <v>46</v>
      </c>
      <c r="I75" s="16" t="s">
        <v>309</v>
      </c>
      <c r="J75" s="30" t="s">
        <v>125</v>
      </c>
      <c r="K75" s="16" t="s">
        <v>126</v>
      </c>
      <c r="L75" s="16">
        <f t="shared" si="35"/>
        <v>31.94</v>
      </c>
      <c r="M75" s="31">
        <v>11063611</v>
      </c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E75" s="31"/>
      <c r="AF75" s="32">
        <f t="shared" si="36"/>
        <v>11063611</v>
      </c>
      <c r="AI75" s="31">
        <v>1284100</v>
      </c>
      <c r="AJ75" s="31"/>
      <c r="AK75" s="31">
        <v>199900</v>
      </c>
      <c r="AL75" s="31">
        <v>442700</v>
      </c>
      <c r="AM75" s="31"/>
      <c r="AN75" s="31"/>
      <c r="AO75" s="32">
        <f t="shared" si="37"/>
        <v>1926700</v>
      </c>
      <c r="AR75" s="31">
        <v>891666</v>
      </c>
      <c r="AS75" s="31">
        <v>891667</v>
      </c>
      <c r="AT75" s="31">
        <v>167369</v>
      </c>
      <c r="AU75" s="32">
        <f t="shared" si="38"/>
        <v>1950702</v>
      </c>
      <c r="AV75" s="41">
        <f t="shared" si="48"/>
        <v>3937863</v>
      </c>
      <c r="AX75" s="31">
        <v>0</v>
      </c>
      <c r="AY75" s="31">
        <v>0</v>
      </c>
      <c r="AZ75" s="31">
        <v>0</v>
      </c>
      <c r="BA75" s="20">
        <v>0</v>
      </c>
      <c r="BB75" s="31">
        <v>0</v>
      </c>
      <c r="BC75" s="31">
        <f t="shared" si="49"/>
        <v>60461</v>
      </c>
      <c r="BD75" s="35">
        <f t="shared" si="39"/>
        <v>60461</v>
      </c>
      <c r="BF75" s="28">
        <f t="shared" si="50"/>
        <v>11.399999999999999</v>
      </c>
      <c r="BG75" s="28">
        <f t="shared" si="51"/>
        <v>19.849455351383536</v>
      </c>
      <c r="BH75" s="31">
        <f t="shared" si="40"/>
        <v>15061479.896</v>
      </c>
      <c r="BI75" s="31">
        <f t="shared" si="52"/>
        <v>181383</v>
      </c>
      <c r="BJ75" s="40">
        <f t="shared" si="41"/>
        <v>60005.896000000001</v>
      </c>
      <c r="BK75" s="40">
        <f t="shared" si="42"/>
        <v>34462.769999999997</v>
      </c>
      <c r="BL75" s="31">
        <f t="shared" si="43"/>
        <v>15277325.665999999</v>
      </c>
      <c r="BM75" s="36">
        <v>3023.05</v>
      </c>
      <c r="BN75" s="37">
        <f t="shared" si="44"/>
        <v>4982.21</v>
      </c>
      <c r="BO75" s="37">
        <f t="shared" si="45"/>
        <v>60</v>
      </c>
      <c r="BP75" s="37">
        <f t="shared" si="46"/>
        <v>11.4</v>
      </c>
      <c r="BQ75" s="37">
        <f t="shared" si="47"/>
        <v>5053.6099999999997</v>
      </c>
      <c r="BR75" s="38">
        <v>5053.63</v>
      </c>
      <c r="BS75" s="37">
        <f t="shared" si="53"/>
        <v>-2.0000000000436557E-2</v>
      </c>
      <c r="BT75" s="46"/>
      <c r="BW75" s="31">
        <f t="shared" si="54"/>
        <v>120922</v>
      </c>
      <c r="BX75" s="31">
        <f t="shared" si="55"/>
        <v>60461</v>
      </c>
    </row>
    <row r="76" spans="1:76" x14ac:dyDescent="0.3">
      <c r="A76" s="47" t="s">
        <v>378</v>
      </c>
      <c r="B76" s="16" t="s">
        <v>379</v>
      </c>
      <c r="C76" s="27" t="s">
        <v>380</v>
      </c>
      <c r="D76" s="29">
        <v>46082.208518518513</v>
      </c>
      <c r="E76" s="29"/>
      <c r="F76" s="16" t="s">
        <v>122</v>
      </c>
      <c r="G76" s="16" t="s">
        <v>123</v>
      </c>
      <c r="H76" s="16" t="s">
        <v>17</v>
      </c>
      <c r="I76" s="16" t="s">
        <v>264</v>
      </c>
      <c r="J76" s="30" t="s">
        <v>125</v>
      </c>
      <c r="K76" s="16" t="s">
        <v>126</v>
      </c>
      <c r="L76" s="16">
        <f t="shared" si="35"/>
        <v>31.94</v>
      </c>
      <c r="M76" s="31">
        <v>6769504</v>
      </c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E76" s="31"/>
      <c r="AF76" s="32">
        <f t="shared" si="36"/>
        <v>6769504</v>
      </c>
      <c r="AI76" s="31">
        <v>812420</v>
      </c>
      <c r="AJ76" s="31"/>
      <c r="AK76" s="31">
        <v>165000</v>
      </c>
      <c r="AL76" s="31">
        <v>270800</v>
      </c>
      <c r="AM76" s="31"/>
      <c r="AN76" s="31"/>
      <c r="AO76" s="32">
        <f t="shared" si="37"/>
        <v>1248220</v>
      </c>
      <c r="AR76" s="31">
        <v>564125</v>
      </c>
      <c r="AS76" s="31">
        <v>564125</v>
      </c>
      <c r="AT76" s="31">
        <v>73336</v>
      </c>
      <c r="AU76" s="32">
        <f t="shared" si="38"/>
        <v>1201586</v>
      </c>
      <c r="AV76" s="41">
        <f t="shared" si="48"/>
        <v>2510267</v>
      </c>
      <c r="AX76" s="31">
        <v>0</v>
      </c>
      <c r="AY76" s="31">
        <v>0</v>
      </c>
      <c r="AZ76" s="31">
        <v>0</v>
      </c>
      <c r="BA76" s="20">
        <v>0</v>
      </c>
      <c r="BB76" s="31">
        <v>0</v>
      </c>
      <c r="BC76" s="31">
        <f t="shared" si="49"/>
        <v>60461</v>
      </c>
      <c r="BD76" s="35">
        <f t="shared" si="39"/>
        <v>60461</v>
      </c>
      <c r="BF76" s="28">
        <f t="shared" si="50"/>
        <v>11.399999999999999</v>
      </c>
      <c r="BG76" s="28">
        <f t="shared" si="51"/>
        <v>12.278686756752286</v>
      </c>
      <c r="BH76" s="31">
        <f t="shared" si="40"/>
        <v>9316890.0840000007</v>
      </c>
      <c r="BI76" s="31">
        <f t="shared" si="52"/>
        <v>181383</v>
      </c>
      <c r="BJ76" s="40">
        <f t="shared" si="41"/>
        <v>37119.084000000003</v>
      </c>
      <c r="BK76" s="40">
        <f t="shared" si="42"/>
        <v>34462.769999999997</v>
      </c>
      <c r="BL76" s="31">
        <f t="shared" si="43"/>
        <v>9532735.8540000003</v>
      </c>
      <c r="BM76" s="36">
        <v>3023.05</v>
      </c>
      <c r="BN76" s="37">
        <f t="shared" si="44"/>
        <v>3081.95</v>
      </c>
      <c r="BO76" s="37">
        <f t="shared" si="45"/>
        <v>60</v>
      </c>
      <c r="BP76" s="37">
        <f t="shared" si="46"/>
        <v>11.4</v>
      </c>
      <c r="BQ76" s="37">
        <f t="shared" si="47"/>
        <v>3153.35</v>
      </c>
      <c r="BR76" s="38">
        <v>3153.36</v>
      </c>
      <c r="BS76" s="37">
        <f t="shared" si="53"/>
        <v>-1.0000000000218279E-2</v>
      </c>
      <c r="BT76" s="46"/>
      <c r="BW76" s="31">
        <f t="shared" si="54"/>
        <v>120922</v>
      </c>
      <c r="BX76" s="31">
        <f t="shared" si="55"/>
        <v>60461</v>
      </c>
    </row>
    <row r="77" spans="1:76" x14ac:dyDescent="0.3">
      <c r="A77" s="47" t="s">
        <v>381</v>
      </c>
      <c r="B77" s="16" t="s">
        <v>382</v>
      </c>
      <c r="C77" s="27" t="s">
        <v>383</v>
      </c>
      <c r="D77" s="29">
        <v>46209.208518518513</v>
      </c>
      <c r="E77" s="29">
        <v>46387.208518518513</v>
      </c>
      <c r="F77" s="16" t="s">
        <v>122</v>
      </c>
      <c r="G77" s="16" t="s">
        <v>123</v>
      </c>
      <c r="H77" s="16" t="s">
        <v>41</v>
      </c>
      <c r="I77" s="16" t="s">
        <v>247</v>
      </c>
      <c r="J77" s="30" t="s">
        <v>125</v>
      </c>
      <c r="K77" s="16" t="s">
        <v>126</v>
      </c>
      <c r="L77" s="16">
        <f t="shared" si="35"/>
        <v>31.94</v>
      </c>
      <c r="M77" s="31">
        <v>13762685</v>
      </c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E77" s="31"/>
      <c r="AF77" s="32">
        <f t="shared" si="36"/>
        <v>13762685</v>
      </c>
      <c r="AI77" s="31">
        <v>1651593</v>
      </c>
      <c r="AJ77" s="31"/>
      <c r="AK77" s="31">
        <v>71900</v>
      </c>
      <c r="AL77" s="31">
        <v>550600</v>
      </c>
      <c r="AM77" s="31"/>
      <c r="AN77" s="31"/>
      <c r="AO77" s="32">
        <f t="shared" si="37"/>
        <v>2274093</v>
      </c>
      <c r="AR77" s="31">
        <v>1146891</v>
      </c>
      <c r="AS77" s="31">
        <v>1146891</v>
      </c>
      <c r="AT77" s="31">
        <v>53522</v>
      </c>
      <c r="AU77" s="32">
        <f t="shared" si="38"/>
        <v>2347304</v>
      </c>
      <c r="AV77" s="41">
        <f t="shared" si="48"/>
        <v>4681858</v>
      </c>
      <c r="AX77" s="31">
        <v>0</v>
      </c>
      <c r="AY77" s="31">
        <v>0</v>
      </c>
      <c r="AZ77" s="31">
        <v>0</v>
      </c>
      <c r="BA77" s="20">
        <v>0</v>
      </c>
      <c r="BB77" s="31">
        <v>0</v>
      </c>
      <c r="BC77" s="31">
        <f t="shared" si="49"/>
        <v>60461</v>
      </c>
      <c r="BD77" s="35">
        <f t="shared" si="39"/>
        <v>60461</v>
      </c>
      <c r="BF77" s="28">
        <f t="shared" si="50"/>
        <v>11.399999999999999</v>
      </c>
      <c r="BG77" s="28">
        <f t="shared" si="51"/>
        <v>24.405210631646849</v>
      </c>
      <c r="BH77" s="31">
        <f t="shared" si="40"/>
        <v>18518321.171999998</v>
      </c>
      <c r="BI77" s="31">
        <f t="shared" si="52"/>
        <v>181383</v>
      </c>
      <c r="BJ77" s="40">
        <f t="shared" si="41"/>
        <v>73778.172000000006</v>
      </c>
      <c r="BK77" s="40">
        <f t="shared" si="42"/>
        <v>34462.769999999997</v>
      </c>
      <c r="BL77" s="31">
        <f t="shared" si="43"/>
        <v>18734166.941999998</v>
      </c>
      <c r="BM77" s="36">
        <v>3023.05</v>
      </c>
      <c r="BN77" s="37">
        <f t="shared" si="44"/>
        <v>6125.71</v>
      </c>
      <c r="BO77" s="37">
        <f t="shared" si="45"/>
        <v>60</v>
      </c>
      <c r="BP77" s="37">
        <f t="shared" si="46"/>
        <v>11.4</v>
      </c>
      <c r="BQ77" s="37">
        <f t="shared" si="47"/>
        <v>6197.11</v>
      </c>
      <c r="BR77" s="38">
        <v>6197.13</v>
      </c>
      <c r="BS77" s="37">
        <f t="shared" si="53"/>
        <v>-2.0000000000436557E-2</v>
      </c>
      <c r="BT77" s="46"/>
      <c r="BW77" s="31">
        <f t="shared" si="54"/>
        <v>120922</v>
      </c>
      <c r="BX77" s="31">
        <f t="shared" si="55"/>
        <v>60461</v>
      </c>
    </row>
    <row r="78" spans="1:76" x14ac:dyDescent="0.3">
      <c r="A78" s="47" t="s">
        <v>384</v>
      </c>
      <c r="B78" s="16" t="s">
        <v>385</v>
      </c>
      <c r="C78" s="39" t="s">
        <v>386</v>
      </c>
      <c r="D78" s="29">
        <v>46244.208518518513</v>
      </c>
      <c r="E78" s="29"/>
      <c r="F78" s="16" t="s">
        <v>122</v>
      </c>
      <c r="G78" s="16" t="s">
        <v>123</v>
      </c>
      <c r="H78" s="16" t="s">
        <v>43</v>
      </c>
      <c r="I78" s="16" t="s">
        <v>140</v>
      </c>
      <c r="J78" s="30" t="s">
        <v>125</v>
      </c>
      <c r="K78" s="16" t="s">
        <v>126</v>
      </c>
      <c r="L78" s="16">
        <f t="shared" si="35"/>
        <v>31.94</v>
      </c>
      <c r="M78" s="31">
        <v>4000000</v>
      </c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E78" s="31"/>
      <c r="AF78" s="32">
        <f t="shared" si="36"/>
        <v>4000000</v>
      </c>
      <c r="AI78" s="31">
        <v>480000</v>
      </c>
      <c r="AJ78" s="31"/>
      <c r="AK78" s="31">
        <v>20900</v>
      </c>
      <c r="AL78" s="31">
        <v>160000</v>
      </c>
      <c r="AM78" s="31"/>
      <c r="AN78" s="31"/>
      <c r="AO78" s="32">
        <f t="shared" si="37"/>
        <v>660900</v>
      </c>
      <c r="AR78" s="31">
        <v>333334</v>
      </c>
      <c r="AS78" s="31">
        <v>333334</v>
      </c>
      <c r="AT78" s="31">
        <v>8000</v>
      </c>
      <c r="AU78" s="32">
        <f t="shared" si="38"/>
        <v>674668</v>
      </c>
      <c r="AV78" s="41">
        <f t="shared" si="48"/>
        <v>1396029</v>
      </c>
      <c r="AX78" s="31">
        <v>0</v>
      </c>
      <c r="AY78" s="31">
        <v>0</v>
      </c>
      <c r="AZ78" s="31">
        <v>0</v>
      </c>
      <c r="BA78" s="20">
        <v>0</v>
      </c>
      <c r="BB78" s="31">
        <v>0</v>
      </c>
      <c r="BC78" s="31">
        <f t="shared" si="49"/>
        <v>60461</v>
      </c>
      <c r="BD78" s="35">
        <f t="shared" si="39"/>
        <v>60461</v>
      </c>
      <c r="BF78" s="42">
        <f t="shared" si="50"/>
        <v>11.399999999999999</v>
      </c>
      <c r="BG78" s="42">
        <f t="shared" si="51"/>
        <v>7.1398475050032255</v>
      </c>
      <c r="BH78" s="31">
        <f t="shared" si="40"/>
        <v>5417613.1160000004</v>
      </c>
      <c r="BI78" s="31">
        <f t="shared" si="52"/>
        <v>181383</v>
      </c>
      <c r="BJ78" s="31">
        <f t="shared" si="41"/>
        <v>21584.116000000002</v>
      </c>
      <c r="BK78" s="31">
        <f t="shared" si="42"/>
        <v>34462.769999999997</v>
      </c>
      <c r="BL78" s="31">
        <f t="shared" si="43"/>
        <v>5633458.8859999999</v>
      </c>
      <c r="BM78" s="36">
        <v>3023.05</v>
      </c>
      <c r="BN78" s="37">
        <f t="shared" si="44"/>
        <v>1792.1</v>
      </c>
      <c r="BO78" s="37">
        <f t="shared" si="45"/>
        <v>60</v>
      </c>
      <c r="BP78" s="37">
        <f t="shared" si="46"/>
        <v>11.4</v>
      </c>
      <c r="BQ78" s="37">
        <f t="shared" si="47"/>
        <v>1863.5</v>
      </c>
      <c r="BR78" s="38">
        <v>1863.51</v>
      </c>
      <c r="BS78" s="37">
        <f t="shared" si="53"/>
        <v>-9.9999999999909051E-3</v>
      </c>
      <c r="BT78" s="46"/>
      <c r="BW78" s="31">
        <f t="shared" si="54"/>
        <v>120922</v>
      </c>
      <c r="BX78" s="31">
        <f t="shared" si="55"/>
        <v>60461</v>
      </c>
    </row>
    <row r="79" spans="1:76" x14ac:dyDescent="0.3">
      <c r="A79" s="47" t="s">
        <v>387</v>
      </c>
      <c r="B79" s="16" t="s">
        <v>388</v>
      </c>
      <c r="C79" s="39" t="s">
        <v>389</v>
      </c>
      <c r="D79" s="29">
        <v>46189.208518518513</v>
      </c>
      <c r="E79" s="29"/>
      <c r="F79" s="16" t="s">
        <v>122</v>
      </c>
      <c r="G79" s="16" t="s">
        <v>123</v>
      </c>
      <c r="H79" s="16" t="s">
        <v>43</v>
      </c>
      <c r="I79" s="16" t="s">
        <v>140</v>
      </c>
      <c r="J79" s="30" t="s">
        <v>125</v>
      </c>
      <c r="K79" s="16" t="s">
        <v>126</v>
      </c>
      <c r="L79" s="16">
        <f t="shared" si="35"/>
        <v>31.94</v>
      </c>
      <c r="M79" s="31">
        <v>3479000</v>
      </c>
      <c r="N79" s="31"/>
      <c r="O79" s="31"/>
      <c r="P79" s="31"/>
      <c r="Q79" s="31"/>
      <c r="R79" s="40">
        <v>343725</v>
      </c>
      <c r="S79" s="31"/>
      <c r="T79" s="31"/>
      <c r="U79" s="31"/>
      <c r="V79" s="31"/>
      <c r="W79" s="31"/>
      <c r="X79" s="31"/>
      <c r="Y79" s="31"/>
      <c r="Z79" s="31">
        <v>249095</v>
      </c>
      <c r="AA79" s="31"/>
      <c r="AB79" s="31"/>
      <c r="AC79" s="31"/>
      <c r="AE79" s="31"/>
      <c r="AF79" s="32">
        <f t="shared" si="36"/>
        <v>4071820</v>
      </c>
      <c r="AI79" s="31">
        <v>458791</v>
      </c>
      <c r="AJ79" s="31"/>
      <c r="AK79" s="31">
        <v>20000</v>
      </c>
      <c r="AL79" s="31">
        <v>153000</v>
      </c>
      <c r="AM79" s="31"/>
      <c r="AN79" s="31"/>
      <c r="AO79" s="32">
        <f t="shared" si="37"/>
        <v>631791</v>
      </c>
      <c r="AR79" s="31">
        <v>339319</v>
      </c>
      <c r="AS79" s="31">
        <v>339319</v>
      </c>
      <c r="AT79" s="31">
        <v>19643</v>
      </c>
      <c r="AU79" s="32">
        <f t="shared" si="38"/>
        <v>698281</v>
      </c>
      <c r="AV79" s="41">
        <f t="shared" si="48"/>
        <v>1390533</v>
      </c>
      <c r="AX79" s="31">
        <v>0</v>
      </c>
      <c r="AY79" s="31">
        <v>0</v>
      </c>
      <c r="AZ79" s="31">
        <v>0</v>
      </c>
      <c r="BA79" s="20">
        <v>0</v>
      </c>
      <c r="BB79" s="31">
        <v>0</v>
      </c>
      <c r="BC79" s="31">
        <f t="shared" si="49"/>
        <v>60461</v>
      </c>
      <c r="BD79" s="35">
        <f t="shared" si="39"/>
        <v>60461</v>
      </c>
      <c r="BF79" s="42">
        <f t="shared" si="50"/>
        <v>11.399999999999999</v>
      </c>
      <c r="BG79" s="42">
        <f t="shared" si="51"/>
        <v>7.2276052331254856</v>
      </c>
      <c r="BH79" s="31">
        <f t="shared" si="40"/>
        <v>5484202.4119999995</v>
      </c>
      <c r="BI79" s="31">
        <f t="shared" si="52"/>
        <v>181383</v>
      </c>
      <c r="BJ79" s="31">
        <f t="shared" si="41"/>
        <v>21849.412</v>
      </c>
      <c r="BK79" s="31">
        <f t="shared" si="42"/>
        <v>34462.769999999997</v>
      </c>
      <c r="BL79" s="31">
        <f t="shared" si="43"/>
        <v>5700048.1819999991</v>
      </c>
      <c r="BM79" s="36">
        <v>3023.05</v>
      </c>
      <c r="BN79" s="37">
        <f t="shared" si="44"/>
        <v>1814.13</v>
      </c>
      <c r="BO79" s="37">
        <f t="shared" si="45"/>
        <v>60</v>
      </c>
      <c r="BP79" s="37">
        <f t="shared" si="46"/>
        <v>11.4</v>
      </c>
      <c r="BQ79" s="37">
        <f t="shared" si="47"/>
        <v>1885.5300000000002</v>
      </c>
      <c r="BR79" s="38">
        <v>1885.55</v>
      </c>
      <c r="BS79" s="37">
        <f t="shared" si="53"/>
        <v>-1.9999999999754436E-2</v>
      </c>
      <c r="BT79" s="46"/>
      <c r="BW79" s="31">
        <f t="shared" si="54"/>
        <v>120922</v>
      </c>
      <c r="BX79" s="31">
        <f t="shared" si="55"/>
        <v>60461</v>
      </c>
    </row>
    <row r="80" spans="1:76" x14ac:dyDescent="0.3">
      <c r="A80" s="47" t="s">
        <v>390</v>
      </c>
      <c r="B80" s="16" t="s">
        <v>391</v>
      </c>
      <c r="C80" s="39" t="s">
        <v>392</v>
      </c>
      <c r="D80" s="29">
        <v>46224.208518518513</v>
      </c>
      <c r="E80" s="29"/>
      <c r="F80" s="16" t="s">
        <v>122</v>
      </c>
      <c r="G80" s="16" t="s">
        <v>123</v>
      </c>
      <c r="H80" s="16" t="s">
        <v>43</v>
      </c>
      <c r="I80" s="16" t="s">
        <v>140</v>
      </c>
      <c r="J80" s="30" t="s">
        <v>125</v>
      </c>
      <c r="K80" s="16" t="s">
        <v>126</v>
      </c>
      <c r="L80" s="16">
        <f t="shared" si="35"/>
        <v>31.94</v>
      </c>
      <c r="M80" s="31">
        <v>2690000</v>
      </c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40">
        <v>240792</v>
      </c>
      <c r="AA80" s="31"/>
      <c r="AB80" s="31"/>
      <c r="AC80" s="31"/>
      <c r="AE80" s="31"/>
      <c r="AF80" s="32">
        <f t="shared" si="36"/>
        <v>2930792</v>
      </c>
      <c r="AI80" s="31">
        <v>322900</v>
      </c>
      <c r="AJ80" s="31"/>
      <c r="AK80" s="31">
        <v>13600</v>
      </c>
      <c r="AL80" s="31">
        <v>107700</v>
      </c>
      <c r="AM80" s="31"/>
      <c r="AN80" s="31"/>
      <c r="AO80" s="32">
        <f t="shared" si="37"/>
        <v>444200</v>
      </c>
      <c r="AR80" s="31">
        <v>244233</v>
      </c>
      <c r="AS80" s="31">
        <v>244233</v>
      </c>
      <c r="AT80" s="31">
        <v>8965</v>
      </c>
      <c r="AU80" s="32">
        <f t="shared" si="38"/>
        <v>497431</v>
      </c>
      <c r="AV80" s="41">
        <f t="shared" si="48"/>
        <v>1002092</v>
      </c>
      <c r="AX80" s="31">
        <v>0</v>
      </c>
      <c r="AY80" s="31">
        <v>0</v>
      </c>
      <c r="AZ80" s="31">
        <v>0</v>
      </c>
      <c r="BA80" s="20">
        <v>0</v>
      </c>
      <c r="BB80" s="31">
        <v>0</v>
      </c>
      <c r="BC80" s="31">
        <f t="shared" si="49"/>
        <v>60461</v>
      </c>
      <c r="BD80" s="35">
        <f t="shared" si="39"/>
        <v>60461</v>
      </c>
      <c r="BF80" s="42">
        <f t="shared" si="50"/>
        <v>11.399999999999999</v>
      </c>
      <c r="BG80" s="42">
        <f t="shared" si="51"/>
        <v>5.2038623244736275</v>
      </c>
      <c r="BH80" s="31">
        <f t="shared" si="40"/>
        <v>3948615.5359999998</v>
      </c>
      <c r="BI80" s="31">
        <f t="shared" si="52"/>
        <v>181383</v>
      </c>
      <c r="BJ80" s="31">
        <f t="shared" si="41"/>
        <v>15731.536</v>
      </c>
      <c r="BK80" s="31">
        <f t="shared" si="42"/>
        <v>34462.769999999997</v>
      </c>
      <c r="BL80" s="31">
        <f t="shared" si="43"/>
        <v>4164461.3059999999</v>
      </c>
      <c r="BM80" s="36">
        <v>3023.05</v>
      </c>
      <c r="BN80" s="37">
        <f t="shared" si="44"/>
        <v>1306.17</v>
      </c>
      <c r="BO80" s="37">
        <f t="shared" si="45"/>
        <v>60</v>
      </c>
      <c r="BP80" s="37">
        <f t="shared" si="46"/>
        <v>11.4</v>
      </c>
      <c r="BQ80" s="37">
        <f t="shared" si="47"/>
        <v>1377.5700000000002</v>
      </c>
      <c r="BR80" s="38">
        <v>1377.59</v>
      </c>
      <c r="BS80" s="37">
        <f t="shared" si="53"/>
        <v>-1.9999999999754436E-2</v>
      </c>
      <c r="BT80" s="46"/>
      <c r="BW80" s="31">
        <f t="shared" si="54"/>
        <v>120922</v>
      </c>
      <c r="BX80" s="31">
        <f t="shared" si="55"/>
        <v>60461</v>
      </c>
    </row>
    <row r="81" spans="1:76" x14ac:dyDescent="0.3">
      <c r="A81" s="47" t="s">
        <v>393</v>
      </c>
      <c r="B81" s="16" t="s">
        <v>394</v>
      </c>
      <c r="C81" s="27" t="s">
        <v>395</v>
      </c>
      <c r="D81" s="29">
        <v>46160.208518518513</v>
      </c>
      <c r="E81" s="29"/>
      <c r="F81" s="16" t="s">
        <v>122</v>
      </c>
      <c r="G81" s="16" t="s">
        <v>123</v>
      </c>
      <c r="H81" s="16" t="s">
        <v>29</v>
      </c>
      <c r="I81" s="16" t="s">
        <v>124</v>
      </c>
      <c r="J81" s="30" t="s">
        <v>125</v>
      </c>
      <c r="K81" s="16" t="s">
        <v>126</v>
      </c>
      <c r="L81" s="16">
        <f t="shared" si="35"/>
        <v>31.94</v>
      </c>
      <c r="M81" s="31">
        <v>4183601</v>
      </c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E81" s="31"/>
      <c r="AF81" s="32">
        <f t="shared" si="36"/>
        <v>4183601</v>
      </c>
      <c r="AI81" s="31">
        <v>502056</v>
      </c>
      <c r="AJ81" s="31"/>
      <c r="AK81" s="31">
        <v>21900</v>
      </c>
      <c r="AL81" s="31">
        <v>167400</v>
      </c>
      <c r="AM81" s="31"/>
      <c r="AN81" s="31"/>
      <c r="AO81" s="32">
        <f t="shared" si="37"/>
        <v>691356</v>
      </c>
      <c r="AR81" s="31">
        <v>348633</v>
      </c>
      <c r="AS81" s="31">
        <v>348633</v>
      </c>
      <c r="AT81" s="31">
        <v>28365</v>
      </c>
      <c r="AU81" s="32">
        <f t="shared" si="38"/>
        <v>725631</v>
      </c>
      <c r="AV81" s="41">
        <f t="shared" si="48"/>
        <v>1477448</v>
      </c>
      <c r="AX81" s="31">
        <v>608079</v>
      </c>
      <c r="AY81" s="31">
        <v>0</v>
      </c>
      <c r="AZ81" s="31">
        <v>0</v>
      </c>
      <c r="BA81" s="20">
        <v>0</v>
      </c>
      <c r="BB81" s="31">
        <v>0</v>
      </c>
      <c r="BC81" s="31">
        <f t="shared" si="49"/>
        <v>60461</v>
      </c>
      <c r="BD81" s="35">
        <f t="shared" si="39"/>
        <v>668540</v>
      </c>
      <c r="BF81" s="28">
        <f t="shared" si="50"/>
        <v>11.399999999999999</v>
      </c>
      <c r="BG81" s="28">
        <f t="shared" si="51"/>
        <v>8.2951032897239543</v>
      </c>
      <c r="BH81" s="31">
        <f t="shared" si="40"/>
        <v>6294204.5120000001</v>
      </c>
      <c r="BI81" s="31">
        <f t="shared" si="52"/>
        <v>181383</v>
      </c>
      <c r="BJ81" s="40">
        <f t="shared" si="41"/>
        <v>25076.511999999999</v>
      </c>
      <c r="BK81" s="40">
        <f t="shared" si="42"/>
        <v>34462.769999999997</v>
      </c>
      <c r="BL81" s="31">
        <f t="shared" si="43"/>
        <v>6510050.2819999997</v>
      </c>
      <c r="BM81" s="36">
        <v>3023.05</v>
      </c>
      <c r="BN81" s="37">
        <f t="shared" si="44"/>
        <v>2082.0700000000002</v>
      </c>
      <c r="BO81" s="37">
        <f t="shared" si="45"/>
        <v>60</v>
      </c>
      <c r="BP81" s="37">
        <f t="shared" si="46"/>
        <v>11.4</v>
      </c>
      <c r="BQ81" s="37">
        <f t="shared" si="47"/>
        <v>2153.4700000000003</v>
      </c>
      <c r="BR81" s="38">
        <v>2153.4899999999998</v>
      </c>
      <c r="BS81" s="37">
        <f t="shared" si="53"/>
        <v>-1.9999999999527063E-2</v>
      </c>
      <c r="BT81" s="46"/>
      <c r="BW81" s="31">
        <f t="shared" si="54"/>
        <v>120922</v>
      </c>
      <c r="BX81" s="31">
        <f t="shared" si="55"/>
        <v>60461</v>
      </c>
    </row>
    <row r="82" spans="1:76" x14ac:dyDescent="0.3">
      <c r="A82" s="47" t="s">
        <v>396</v>
      </c>
      <c r="B82" s="16" t="s">
        <v>397</v>
      </c>
      <c r="C82" s="39" t="s">
        <v>398</v>
      </c>
      <c r="D82" s="29">
        <v>45705.208518518513</v>
      </c>
      <c r="E82" s="29"/>
      <c r="F82" s="16" t="s">
        <v>122</v>
      </c>
      <c r="G82" s="16" t="s">
        <v>123</v>
      </c>
      <c r="H82" s="16" t="s">
        <v>15</v>
      </c>
      <c r="I82" s="16" t="s">
        <v>148</v>
      </c>
      <c r="J82" s="30" t="s">
        <v>125</v>
      </c>
      <c r="K82" s="16" t="s">
        <v>126</v>
      </c>
      <c r="L82" s="16">
        <f t="shared" si="35"/>
        <v>31.94</v>
      </c>
      <c r="M82" s="31">
        <v>4000000</v>
      </c>
      <c r="N82" s="31"/>
      <c r="O82" s="31"/>
      <c r="P82" s="31"/>
      <c r="Q82" s="31"/>
      <c r="R82" s="40">
        <v>289524</v>
      </c>
      <c r="S82" s="31">
        <v>1924000</v>
      </c>
      <c r="T82" s="31"/>
      <c r="U82" s="31"/>
      <c r="V82" s="31"/>
      <c r="W82" s="31"/>
      <c r="X82" s="31"/>
      <c r="Y82" s="31"/>
      <c r="Z82" s="31"/>
      <c r="AA82" s="31"/>
      <c r="AB82" s="31"/>
      <c r="AC82" s="31"/>
      <c r="AE82" s="31"/>
      <c r="AF82" s="32">
        <f t="shared" si="36"/>
        <v>6213524</v>
      </c>
      <c r="AI82" s="31">
        <v>745659</v>
      </c>
      <c r="AJ82" s="31"/>
      <c r="AK82" s="31">
        <v>32500</v>
      </c>
      <c r="AL82" s="31">
        <v>248600</v>
      </c>
      <c r="AM82" s="31"/>
      <c r="AN82" s="31"/>
      <c r="AO82" s="32">
        <f t="shared" si="37"/>
        <v>1026759</v>
      </c>
      <c r="AR82" s="31">
        <v>517794</v>
      </c>
      <c r="AS82" s="31">
        <v>809460</v>
      </c>
      <c r="AT82" s="31">
        <v>107210</v>
      </c>
      <c r="AU82" s="32">
        <f t="shared" si="38"/>
        <v>1434464</v>
      </c>
      <c r="AV82" s="41">
        <f t="shared" si="48"/>
        <v>2521684</v>
      </c>
      <c r="AX82" s="31">
        <v>0</v>
      </c>
      <c r="AY82" s="31">
        <v>0</v>
      </c>
      <c r="AZ82" s="31">
        <v>0</v>
      </c>
      <c r="BA82" s="20">
        <v>0</v>
      </c>
      <c r="BB82" s="31">
        <v>0</v>
      </c>
      <c r="BC82" s="31">
        <f t="shared" si="49"/>
        <v>60461</v>
      </c>
      <c r="BD82" s="35">
        <f t="shared" si="39"/>
        <v>60461</v>
      </c>
      <c r="BF82" s="42">
        <f t="shared" si="50"/>
        <v>11.399999999999999</v>
      </c>
      <c r="BG82" s="42">
        <f t="shared" si="51"/>
        <v>11.558138965614198</v>
      </c>
      <c r="BH82" s="31">
        <f t="shared" si="40"/>
        <v>8770148.8320000004</v>
      </c>
      <c r="BI82" s="31">
        <f t="shared" si="52"/>
        <v>181383</v>
      </c>
      <c r="BJ82" s="31">
        <f t="shared" si="41"/>
        <v>34940.832000000002</v>
      </c>
      <c r="BK82" s="31">
        <f t="shared" si="42"/>
        <v>34462.769999999997</v>
      </c>
      <c r="BL82" s="31">
        <f t="shared" si="43"/>
        <v>8985994.602</v>
      </c>
      <c r="BM82" s="36">
        <v>3023.05</v>
      </c>
      <c r="BN82" s="37">
        <f t="shared" si="44"/>
        <v>2901.09</v>
      </c>
      <c r="BO82" s="37">
        <f t="shared" si="45"/>
        <v>60</v>
      </c>
      <c r="BP82" s="37">
        <f t="shared" si="46"/>
        <v>11.4</v>
      </c>
      <c r="BQ82" s="37">
        <f t="shared" si="47"/>
        <v>2972.4900000000002</v>
      </c>
      <c r="BR82" s="38">
        <v>2972.52</v>
      </c>
      <c r="BS82" s="37">
        <f t="shared" si="53"/>
        <v>-2.9999999999745341E-2</v>
      </c>
      <c r="BT82" s="46"/>
      <c r="BW82" s="31">
        <f t="shared" si="54"/>
        <v>120922</v>
      </c>
      <c r="BX82" s="31">
        <f t="shared" si="55"/>
        <v>60461</v>
      </c>
    </row>
    <row r="83" spans="1:76" x14ac:dyDescent="0.3">
      <c r="A83" s="47" t="s">
        <v>399</v>
      </c>
      <c r="B83" s="16" t="s">
        <v>400</v>
      </c>
      <c r="C83" s="39" t="s">
        <v>401</v>
      </c>
      <c r="D83" s="29">
        <v>45992.208518518513</v>
      </c>
      <c r="E83" s="29"/>
      <c r="F83" s="16" t="s">
        <v>122</v>
      </c>
      <c r="G83" s="16" t="s">
        <v>123</v>
      </c>
      <c r="H83" s="16" t="s">
        <v>47</v>
      </c>
      <c r="I83" s="16" t="s">
        <v>268</v>
      </c>
      <c r="J83" s="30" t="s">
        <v>125</v>
      </c>
      <c r="K83" s="16" t="s">
        <v>126</v>
      </c>
      <c r="L83" s="16">
        <f t="shared" si="35"/>
        <v>31.94</v>
      </c>
      <c r="M83" s="31">
        <v>4513927</v>
      </c>
      <c r="N83" s="31"/>
      <c r="O83" s="31"/>
      <c r="P83" s="31"/>
      <c r="Q83" s="31"/>
      <c r="R83" s="31"/>
      <c r="S83" s="31"/>
      <c r="T83" s="31"/>
      <c r="U83" s="31"/>
      <c r="V83" s="40">
        <v>926388</v>
      </c>
      <c r="W83" s="31"/>
      <c r="X83" s="31"/>
      <c r="Y83" s="31"/>
      <c r="Z83" s="31"/>
      <c r="AA83" s="31"/>
      <c r="AB83" s="31"/>
      <c r="AC83" s="31"/>
      <c r="AE83" s="31"/>
      <c r="AF83" s="32">
        <f t="shared" si="36"/>
        <v>5440315</v>
      </c>
      <c r="AI83" s="31">
        <v>541843</v>
      </c>
      <c r="AJ83" s="31"/>
      <c r="AK83" s="31">
        <v>69700</v>
      </c>
      <c r="AL83" s="31">
        <v>180700</v>
      </c>
      <c r="AM83" s="31"/>
      <c r="AN83" s="31"/>
      <c r="AO83" s="32">
        <f t="shared" si="37"/>
        <v>792243</v>
      </c>
      <c r="AR83" s="31">
        <v>376161</v>
      </c>
      <c r="AS83" s="31">
        <v>376160</v>
      </c>
      <c r="AT83" s="31">
        <v>63947</v>
      </c>
      <c r="AU83" s="32">
        <f t="shared" si="38"/>
        <v>816268</v>
      </c>
      <c r="AV83" s="34">
        <f t="shared" si="48"/>
        <v>1668972</v>
      </c>
      <c r="AX83" s="31">
        <v>0</v>
      </c>
      <c r="AY83" s="31">
        <v>466233</v>
      </c>
      <c r="AZ83" s="31">
        <v>0</v>
      </c>
      <c r="BA83" s="20">
        <v>0</v>
      </c>
      <c r="BB83" s="31">
        <v>0</v>
      </c>
      <c r="BC83" s="31">
        <f t="shared" si="49"/>
        <v>60461</v>
      </c>
      <c r="BD83" s="35">
        <f t="shared" si="39"/>
        <v>526694</v>
      </c>
      <c r="BF83" s="42">
        <f t="shared" si="50"/>
        <v>11.399999999999999</v>
      </c>
      <c r="BG83" s="42">
        <f t="shared" si="51"/>
        <v>10.023678073468847</v>
      </c>
      <c r="BH83" s="31">
        <f t="shared" si="40"/>
        <v>7605822.0800000001</v>
      </c>
      <c r="BI83" s="31">
        <f t="shared" si="52"/>
        <v>181383</v>
      </c>
      <c r="BJ83" s="31">
        <f t="shared" si="41"/>
        <v>30302.080000000002</v>
      </c>
      <c r="BK83" s="31">
        <f t="shared" si="42"/>
        <v>34462.769999999997</v>
      </c>
      <c r="BL83" s="31">
        <f t="shared" si="43"/>
        <v>7821667.8499999996</v>
      </c>
      <c r="BM83" s="36">
        <v>3023.05</v>
      </c>
      <c r="BN83" s="37">
        <f t="shared" si="44"/>
        <v>2515.94</v>
      </c>
      <c r="BO83" s="37">
        <f t="shared" si="45"/>
        <v>60</v>
      </c>
      <c r="BP83" s="37">
        <f t="shared" si="46"/>
        <v>11.4</v>
      </c>
      <c r="BQ83" s="37">
        <f t="shared" si="47"/>
        <v>2587.34</v>
      </c>
      <c r="BR83" s="38">
        <v>2587.37</v>
      </c>
      <c r="BS83" s="37">
        <f t="shared" si="53"/>
        <v>-2.9999999999745341E-2</v>
      </c>
      <c r="BT83" s="46"/>
      <c r="BW83" s="31">
        <f t="shared" si="54"/>
        <v>120922</v>
      </c>
      <c r="BX83" s="31">
        <f t="shared" si="55"/>
        <v>60461</v>
      </c>
    </row>
    <row r="84" spans="1:76" x14ac:dyDescent="0.3">
      <c r="A84" s="47" t="s">
        <v>402</v>
      </c>
      <c r="B84" s="16" t="s">
        <v>403</v>
      </c>
      <c r="C84" s="39" t="s">
        <v>404</v>
      </c>
      <c r="D84" s="29">
        <v>45524.208518518513</v>
      </c>
      <c r="E84" s="29"/>
      <c r="F84" s="16" t="s">
        <v>122</v>
      </c>
      <c r="G84" s="16" t="s">
        <v>123</v>
      </c>
      <c r="H84" s="16" t="s">
        <v>15</v>
      </c>
      <c r="I84" s="16" t="s">
        <v>148</v>
      </c>
      <c r="J84" s="30" t="s">
        <v>125</v>
      </c>
      <c r="K84" s="16" t="s">
        <v>126</v>
      </c>
      <c r="L84" s="16">
        <f t="shared" si="35"/>
        <v>31.94</v>
      </c>
      <c r="M84" s="31">
        <v>10800000</v>
      </c>
      <c r="N84" s="31"/>
      <c r="O84" s="31"/>
      <c r="P84" s="31"/>
      <c r="Q84" s="31"/>
      <c r="R84" s="40">
        <v>1563429</v>
      </c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E84" s="31"/>
      <c r="AF84" s="32">
        <f t="shared" si="36"/>
        <v>12363429</v>
      </c>
      <c r="AI84" s="31">
        <v>1483663</v>
      </c>
      <c r="AJ84" s="31"/>
      <c r="AK84" s="31">
        <v>64600</v>
      </c>
      <c r="AL84" s="31">
        <v>494600</v>
      </c>
      <c r="AM84" s="31"/>
      <c r="AN84" s="31"/>
      <c r="AO84" s="32">
        <f t="shared" si="37"/>
        <v>2042863</v>
      </c>
      <c r="AR84" s="31">
        <v>1030286</v>
      </c>
      <c r="AS84" s="31">
        <v>1030285</v>
      </c>
      <c r="AT84" s="31">
        <v>169795</v>
      </c>
      <c r="AU84" s="32">
        <f t="shared" si="38"/>
        <v>2230366</v>
      </c>
      <c r="AV84" s="41">
        <f t="shared" si="48"/>
        <v>4333690</v>
      </c>
      <c r="AX84" s="31">
        <v>0</v>
      </c>
      <c r="AY84" s="31">
        <v>0</v>
      </c>
      <c r="AZ84" s="31">
        <v>0</v>
      </c>
      <c r="BA84" s="20">
        <v>0</v>
      </c>
      <c r="BB84" s="31">
        <v>0</v>
      </c>
      <c r="BC84" s="31">
        <f t="shared" si="49"/>
        <v>60461</v>
      </c>
      <c r="BD84" s="35">
        <f t="shared" si="39"/>
        <v>60461</v>
      </c>
      <c r="BF84" s="42">
        <f t="shared" si="50"/>
        <v>11.399999999999999</v>
      </c>
      <c r="BG84" s="42">
        <f t="shared" si="51"/>
        <v>22.093076859463121</v>
      </c>
      <c r="BH84" s="31">
        <f t="shared" si="40"/>
        <v>16763907.476</v>
      </c>
      <c r="BI84" s="31">
        <f t="shared" si="52"/>
        <v>181383</v>
      </c>
      <c r="BJ84" s="31">
        <f t="shared" si="41"/>
        <v>66788.475999999995</v>
      </c>
      <c r="BK84" s="31">
        <f t="shared" si="42"/>
        <v>34462.769999999997</v>
      </c>
      <c r="BL84" s="31">
        <f t="shared" si="43"/>
        <v>16979753.245999999</v>
      </c>
      <c r="BM84" s="36">
        <v>3023.05</v>
      </c>
      <c r="BN84" s="37">
        <f t="shared" si="44"/>
        <v>5545.36</v>
      </c>
      <c r="BO84" s="37">
        <f t="shared" si="45"/>
        <v>60</v>
      </c>
      <c r="BP84" s="37">
        <f t="shared" si="46"/>
        <v>11.4</v>
      </c>
      <c r="BQ84" s="37">
        <f t="shared" si="47"/>
        <v>5616.7599999999993</v>
      </c>
      <c r="BR84" s="38">
        <v>5616.77</v>
      </c>
      <c r="BS84" s="37">
        <f t="shared" si="53"/>
        <v>-1.0000000001127773E-2</v>
      </c>
      <c r="BT84" s="46"/>
      <c r="BW84" s="31">
        <f t="shared" si="54"/>
        <v>120922</v>
      </c>
      <c r="BX84" s="31">
        <f t="shared" si="55"/>
        <v>60461</v>
      </c>
    </row>
    <row r="85" spans="1:76" x14ac:dyDescent="0.3">
      <c r="A85" s="47" t="s">
        <v>405</v>
      </c>
      <c r="B85" s="16" t="s">
        <v>406</v>
      </c>
      <c r="C85" s="27" t="s">
        <v>407</v>
      </c>
      <c r="D85" s="29">
        <v>45587.208518518513</v>
      </c>
      <c r="E85" s="29"/>
      <c r="F85" s="16" t="s">
        <v>122</v>
      </c>
      <c r="G85" s="16" t="s">
        <v>123</v>
      </c>
      <c r="H85" s="16" t="s">
        <v>18</v>
      </c>
      <c r="I85" s="16" t="s">
        <v>408</v>
      </c>
      <c r="J85" s="30" t="s">
        <v>125</v>
      </c>
      <c r="K85" s="16" t="s">
        <v>126</v>
      </c>
      <c r="L85" s="16">
        <f t="shared" si="35"/>
        <v>31.94</v>
      </c>
      <c r="M85" s="40">
        <v>22761765</v>
      </c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E85" s="31"/>
      <c r="AF85" s="32">
        <f t="shared" si="36"/>
        <v>22761765</v>
      </c>
      <c r="AI85" s="31">
        <v>1912071</v>
      </c>
      <c r="AJ85" s="31">
        <v>1354371</v>
      </c>
      <c r="AK85" s="31">
        <v>388200</v>
      </c>
      <c r="AL85" s="31">
        <v>637400</v>
      </c>
      <c r="AM85" s="31">
        <v>318700</v>
      </c>
      <c r="AN85" s="31">
        <v>478000</v>
      </c>
      <c r="AO85" s="32">
        <f t="shared" si="37"/>
        <v>5088742</v>
      </c>
      <c r="AR85" s="31"/>
      <c r="AS85" s="31"/>
      <c r="AT85" s="31"/>
      <c r="AU85" s="32">
        <f t="shared" si="38"/>
        <v>0</v>
      </c>
      <c r="AV85" s="41">
        <f t="shared" si="48"/>
        <v>5149203</v>
      </c>
      <c r="AX85" s="31">
        <v>0</v>
      </c>
      <c r="AY85" s="31">
        <v>0</v>
      </c>
      <c r="AZ85" s="31">
        <v>0</v>
      </c>
      <c r="BA85" s="20">
        <v>0</v>
      </c>
      <c r="BB85" s="31">
        <v>0</v>
      </c>
      <c r="BC85" s="31">
        <f t="shared" si="49"/>
        <v>60461</v>
      </c>
      <c r="BD85" s="35">
        <f t="shared" si="39"/>
        <v>60461</v>
      </c>
      <c r="BF85" s="28">
        <f t="shared" si="50"/>
        <v>11.399999999999999</v>
      </c>
      <c r="BG85" s="28">
        <f t="shared" si="51"/>
        <v>36.930871801657268</v>
      </c>
      <c r="BH85" s="31">
        <f t="shared" si="40"/>
        <v>28022611.872000001</v>
      </c>
      <c r="BI85" s="31">
        <f t="shared" si="52"/>
        <v>181383</v>
      </c>
      <c r="BJ85" s="40">
        <f t="shared" si="41"/>
        <v>111643.872</v>
      </c>
      <c r="BK85" s="40">
        <f t="shared" si="42"/>
        <v>34462.769999999997</v>
      </c>
      <c r="BL85" s="31">
        <f t="shared" si="43"/>
        <v>28238457.642000001</v>
      </c>
      <c r="BM85" s="36">
        <v>3023.05</v>
      </c>
      <c r="BN85" s="37">
        <f t="shared" si="44"/>
        <v>9269.65</v>
      </c>
      <c r="BO85" s="37">
        <f t="shared" si="45"/>
        <v>60</v>
      </c>
      <c r="BP85" s="37">
        <f t="shared" si="46"/>
        <v>11.4</v>
      </c>
      <c r="BQ85" s="37">
        <f t="shared" si="47"/>
        <v>9341.0499999999993</v>
      </c>
      <c r="BR85" s="38">
        <v>9341.06</v>
      </c>
      <c r="BS85" s="37">
        <f t="shared" si="53"/>
        <v>-1.0000000000218279E-2</v>
      </c>
      <c r="BT85" s="46"/>
      <c r="BW85" s="31">
        <f t="shared" si="54"/>
        <v>120922</v>
      </c>
      <c r="BX85" s="31">
        <f t="shared" si="55"/>
        <v>60461</v>
      </c>
    </row>
    <row r="86" spans="1:76" x14ac:dyDescent="0.3">
      <c r="A86" s="47" t="s">
        <v>409</v>
      </c>
      <c r="B86" s="16" t="s">
        <v>410</v>
      </c>
      <c r="C86" s="27" t="s">
        <v>411</v>
      </c>
      <c r="D86" s="29">
        <v>46217.208518518513</v>
      </c>
      <c r="E86" s="29"/>
      <c r="F86" s="16" t="s">
        <v>122</v>
      </c>
      <c r="G86" s="16" t="s">
        <v>123</v>
      </c>
      <c r="H86" s="16" t="s">
        <v>17</v>
      </c>
      <c r="I86" s="16" t="s">
        <v>264</v>
      </c>
      <c r="J86" s="30" t="s">
        <v>125</v>
      </c>
      <c r="K86" s="16" t="s">
        <v>126</v>
      </c>
      <c r="L86" s="16">
        <f t="shared" si="35"/>
        <v>31.94</v>
      </c>
      <c r="M86" s="31">
        <v>8612877</v>
      </c>
      <c r="N86" s="31"/>
      <c r="O86" s="31"/>
      <c r="P86" s="31"/>
      <c r="Q86" s="31"/>
      <c r="R86" s="31"/>
      <c r="S86" s="40">
        <v>250073</v>
      </c>
      <c r="T86" s="31"/>
      <c r="U86" s="31"/>
      <c r="V86" s="31"/>
      <c r="W86" s="31"/>
      <c r="X86" s="31"/>
      <c r="Y86" s="31"/>
      <c r="Z86" s="31"/>
      <c r="AA86" s="31"/>
      <c r="AB86" s="31"/>
      <c r="AC86" s="31"/>
      <c r="AE86" s="31"/>
      <c r="AF86" s="32">
        <f t="shared" si="36"/>
        <v>8862950</v>
      </c>
      <c r="AI86" s="31">
        <v>1063582</v>
      </c>
      <c r="AJ86" s="31"/>
      <c r="AK86" s="31">
        <v>46300</v>
      </c>
      <c r="AL86" s="31">
        <v>354600</v>
      </c>
      <c r="AM86" s="31"/>
      <c r="AN86" s="31"/>
      <c r="AO86" s="32">
        <f t="shared" si="37"/>
        <v>1464482</v>
      </c>
      <c r="AR86" s="31">
        <v>738579</v>
      </c>
      <c r="AS86" s="31">
        <v>738579</v>
      </c>
      <c r="AT86" s="31">
        <v>30201</v>
      </c>
      <c r="AU86" s="32">
        <f t="shared" si="38"/>
        <v>1507359</v>
      </c>
      <c r="AV86" s="41">
        <f t="shared" si="48"/>
        <v>3032302</v>
      </c>
      <c r="AX86" s="31">
        <v>468996</v>
      </c>
      <c r="AY86" s="31">
        <v>0</v>
      </c>
      <c r="AZ86" s="31">
        <v>0</v>
      </c>
      <c r="BA86" s="20">
        <v>0</v>
      </c>
      <c r="BB86" s="31">
        <v>0</v>
      </c>
      <c r="BC86" s="31">
        <f t="shared" si="49"/>
        <v>60461</v>
      </c>
      <c r="BD86" s="35">
        <f t="shared" si="39"/>
        <v>529457</v>
      </c>
      <c r="BF86" s="28">
        <f t="shared" si="50"/>
        <v>11.399999999999999</v>
      </c>
      <c r="BG86" s="28">
        <f t="shared" si="51"/>
        <v>16.359964936074494</v>
      </c>
      <c r="BH86" s="31">
        <f t="shared" si="40"/>
        <v>12413704.992000001</v>
      </c>
      <c r="BI86" s="31">
        <f t="shared" si="52"/>
        <v>181383</v>
      </c>
      <c r="BJ86" s="40">
        <f t="shared" si="41"/>
        <v>49456.991999999998</v>
      </c>
      <c r="BK86" s="40">
        <f t="shared" si="42"/>
        <v>34462.769999999997</v>
      </c>
      <c r="BL86" s="31">
        <f t="shared" si="43"/>
        <v>12629550.762</v>
      </c>
      <c r="BM86" s="36">
        <v>3023.05</v>
      </c>
      <c r="BN86" s="37">
        <f t="shared" si="44"/>
        <v>4106.3500000000004</v>
      </c>
      <c r="BO86" s="37">
        <f t="shared" si="45"/>
        <v>60</v>
      </c>
      <c r="BP86" s="37">
        <f t="shared" si="46"/>
        <v>11.4</v>
      </c>
      <c r="BQ86" s="37">
        <f t="shared" si="47"/>
        <v>4177.75</v>
      </c>
      <c r="BR86" s="38">
        <v>4181.41</v>
      </c>
      <c r="BS86" s="37">
        <f t="shared" si="53"/>
        <v>-3.6599999999998545</v>
      </c>
      <c r="BT86" s="46" t="s">
        <v>412</v>
      </c>
      <c r="BW86" s="31">
        <f t="shared" si="54"/>
        <v>120922</v>
      </c>
      <c r="BX86" s="31">
        <f t="shared" si="55"/>
        <v>60461</v>
      </c>
    </row>
    <row r="87" spans="1:76" x14ac:dyDescent="0.3">
      <c r="A87" s="47" t="s">
        <v>413</v>
      </c>
      <c r="B87" s="16" t="s">
        <v>414</v>
      </c>
      <c r="C87" s="39" t="s">
        <v>415</v>
      </c>
      <c r="D87" s="29">
        <v>45880.208518518513</v>
      </c>
      <c r="E87" s="29"/>
      <c r="F87" s="16" t="s">
        <v>122</v>
      </c>
      <c r="G87" s="16" t="s">
        <v>123</v>
      </c>
      <c r="H87" s="16" t="s">
        <v>15</v>
      </c>
      <c r="I87" s="16" t="s">
        <v>148</v>
      </c>
      <c r="J87" s="30" t="s">
        <v>125</v>
      </c>
      <c r="K87" s="16" t="s">
        <v>126</v>
      </c>
      <c r="L87" s="16">
        <f t="shared" si="35"/>
        <v>31.94</v>
      </c>
      <c r="M87" s="31">
        <v>4500000</v>
      </c>
      <c r="N87" s="31"/>
      <c r="O87" s="31"/>
      <c r="P87" s="31"/>
      <c r="Q87" s="31"/>
      <c r="R87" s="40">
        <v>325714</v>
      </c>
      <c r="S87" s="31">
        <v>1638190</v>
      </c>
      <c r="T87" s="31"/>
      <c r="U87" s="31"/>
      <c r="V87" s="31"/>
      <c r="W87" s="31"/>
      <c r="X87" s="31"/>
      <c r="Y87" s="31"/>
      <c r="Z87" s="31"/>
      <c r="AA87" s="31"/>
      <c r="AB87" s="31"/>
      <c r="AC87" s="31"/>
      <c r="AE87" s="31"/>
      <c r="AF87" s="32">
        <f t="shared" si="36"/>
        <v>6463904</v>
      </c>
      <c r="AI87" s="31">
        <v>775744</v>
      </c>
      <c r="AJ87" s="31"/>
      <c r="AK87" s="31">
        <v>33800</v>
      </c>
      <c r="AL87" s="31">
        <v>258600</v>
      </c>
      <c r="AM87" s="31"/>
      <c r="AN87" s="31"/>
      <c r="AO87" s="32">
        <f t="shared" si="37"/>
        <v>1068144</v>
      </c>
      <c r="AR87" s="31">
        <v>538659</v>
      </c>
      <c r="AS87" s="31">
        <v>538659</v>
      </c>
      <c r="AT87" s="31">
        <v>88547</v>
      </c>
      <c r="AU87" s="32">
        <f t="shared" si="38"/>
        <v>1165865</v>
      </c>
      <c r="AV87" s="41">
        <f t="shared" si="48"/>
        <v>2294470</v>
      </c>
      <c r="AX87" s="31">
        <v>0</v>
      </c>
      <c r="AY87" s="31">
        <v>0</v>
      </c>
      <c r="AZ87" s="31">
        <v>0</v>
      </c>
      <c r="BA87" s="20">
        <v>0</v>
      </c>
      <c r="BB87" s="40">
        <v>326900</v>
      </c>
      <c r="BC87" s="31">
        <f t="shared" si="49"/>
        <v>60461</v>
      </c>
      <c r="BD87" s="35">
        <f t="shared" si="39"/>
        <v>387361</v>
      </c>
      <c r="BF87" s="42">
        <f t="shared" si="50"/>
        <v>11.399999999999999</v>
      </c>
      <c r="BG87" s="42">
        <f t="shared" si="51"/>
        <v>12.021334744711465</v>
      </c>
      <c r="BH87" s="31">
        <f t="shared" si="40"/>
        <v>9121615.0960000008</v>
      </c>
      <c r="BI87" s="31">
        <f t="shared" si="52"/>
        <v>181383</v>
      </c>
      <c r="BJ87" s="31">
        <f t="shared" si="41"/>
        <v>36341.095999999998</v>
      </c>
      <c r="BK87" s="31">
        <f t="shared" si="42"/>
        <v>34462.769999999997</v>
      </c>
      <c r="BL87" s="31">
        <f t="shared" si="43"/>
        <v>9337460.8660000004</v>
      </c>
      <c r="BM87" s="36">
        <v>3023.05</v>
      </c>
      <c r="BN87" s="37">
        <f t="shared" si="44"/>
        <v>3017.36</v>
      </c>
      <c r="BO87" s="37">
        <f t="shared" si="45"/>
        <v>60</v>
      </c>
      <c r="BP87" s="37">
        <f t="shared" si="46"/>
        <v>11.4</v>
      </c>
      <c r="BQ87" s="37">
        <f t="shared" si="47"/>
        <v>3088.76</v>
      </c>
      <c r="BR87" s="38">
        <v>3088.79</v>
      </c>
      <c r="BS87" s="37">
        <f t="shared" si="53"/>
        <v>-2.9999999999745341E-2</v>
      </c>
      <c r="BT87" s="46"/>
      <c r="BW87" s="31">
        <f t="shared" si="54"/>
        <v>120922</v>
      </c>
      <c r="BX87" s="31">
        <f t="shared" si="55"/>
        <v>60461</v>
      </c>
    </row>
    <row r="88" spans="1:76" x14ac:dyDescent="0.3">
      <c r="A88" s="47" t="s">
        <v>416</v>
      </c>
      <c r="B88" s="16" t="s">
        <v>417</v>
      </c>
      <c r="C88" s="39" t="s">
        <v>418</v>
      </c>
      <c r="D88" s="29">
        <v>46258.208518518513</v>
      </c>
      <c r="E88" s="29"/>
      <c r="F88" s="16" t="s">
        <v>122</v>
      </c>
      <c r="G88" s="16" t="s">
        <v>123</v>
      </c>
      <c r="H88" s="16" t="s">
        <v>15</v>
      </c>
      <c r="I88" s="16" t="s">
        <v>148</v>
      </c>
      <c r="J88" s="30" t="s">
        <v>125</v>
      </c>
      <c r="K88" s="16" t="s">
        <v>126</v>
      </c>
      <c r="L88" s="16">
        <f t="shared" si="35"/>
        <v>31.94</v>
      </c>
      <c r="M88" s="31">
        <v>3510000</v>
      </c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E88" s="31"/>
      <c r="AF88" s="32">
        <f t="shared" si="36"/>
        <v>3510000</v>
      </c>
      <c r="AI88" s="31">
        <v>421200</v>
      </c>
      <c r="AJ88" s="31"/>
      <c r="AK88" s="31">
        <v>18400</v>
      </c>
      <c r="AL88" s="31">
        <v>140400</v>
      </c>
      <c r="AM88" s="31"/>
      <c r="AN88" s="31"/>
      <c r="AO88" s="32">
        <f t="shared" si="37"/>
        <v>580000</v>
      </c>
      <c r="AR88" s="31">
        <v>292500</v>
      </c>
      <c r="AS88" s="31">
        <v>292500</v>
      </c>
      <c r="AT88" s="31">
        <v>4290</v>
      </c>
      <c r="AU88" s="32">
        <f t="shared" si="38"/>
        <v>589290</v>
      </c>
      <c r="AV88" s="41">
        <f t="shared" si="48"/>
        <v>1229751</v>
      </c>
      <c r="AX88" s="31">
        <v>0</v>
      </c>
      <c r="AY88" s="31">
        <v>0</v>
      </c>
      <c r="AZ88" s="40">
        <v>107500</v>
      </c>
      <c r="BA88" s="20">
        <v>0</v>
      </c>
      <c r="BB88" s="31">
        <v>0</v>
      </c>
      <c r="BC88" s="31">
        <f t="shared" si="49"/>
        <v>60461</v>
      </c>
      <c r="BD88" s="35">
        <f t="shared" si="39"/>
        <v>167961</v>
      </c>
      <c r="BF88" s="42">
        <f t="shared" si="50"/>
        <v>11.399999999999999</v>
      </c>
      <c r="BG88" s="42">
        <f t="shared" si="51"/>
        <v>6.4137225649592295</v>
      </c>
      <c r="BH88" s="31">
        <f t="shared" si="40"/>
        <v>4866640.0039999997</v>
      </c>
      <c r="BI88" s="31">
        <f t="shared" si="52"/>
        <v>181383</v>
      </c>
      <c r="BJ88" s="31">
        <f t="shared" si="41"/>
        <v>19389.004000000001</v>
      </c>
      <c r="BK88" s="31">
        <f t="shared" si="42"/>
        <v>34462.769999999997</v>
      </c>
      <c r="BL88" s="31">
        <f t="shared" si="43"/>
        <v>5082485.7739999993</v>
      </c>
      <c r="BM88" s="36">
        <v>3023.05</v>
      </c>
      <c r="BN88" s="37">
        <f t="shared" si="44"/>
        <v>1609.84</v>
      </c>
      <c r="BO88" s="37">
        <f t="shared" si="45"/>
        <v>60</v>
      </c>
      <c r="BP88" s="37">
        <f t="shared" si="46"/>
        <v>11.4</v>
      </c>
      <c r="BQ88" s="37">
        <f t="shared" si="47"/>
        <v>1681.24</v>
      </c>
      <c r="BR88" s="38">
        <v>1681.26</v>
      </c>
      <c r="BS88" s="37">
        <f t="shared" si="53"/>
        <v>-1.999999999998181E-2</v>
      </c>
      <c r="BT88" s="46"/>
      <c r="BW88" s="31">
        <f t="shared" si="54"/>
        <v>120922</v>
      </c>
      <c r="BX88" s="31">
        <f t="shared" si="55"/>
        <v>60461</v>
      </c>
    </row>
    <row r="89" spans="1:76" x14ac:dyDescent="0.3">
      <c r="A89" s="47" t="s">
        <v>419</v>
      </c>
      <c r="B89" s="16" t="s">
        <v>420</v>
      </c>
      <c r="C89" s="27" t="s">
        <v>421</v>
      </c>
      <c r="D89" s="29">
        <v>46035.208518518513</v>
      </c>
      <c r="E89" s="29"/>
      <c r="F89" s="16" t="s">
        <v>122</v>
      </c>
      <c r="G89" s="16" t="s">
        <v>123</v>
      </c>
      <c r="H89" s="16" t="s">
        <v>35</v>
      </c>
      <c r="I89" s="16" t="s">
        <v>422</v>
      </c>
      <c r="J89" s="30" t="s">
        <v>125</v>
      </c>
      <c r="K89" s="16" t="s">
        <v>126</v>
      </c>
      <c r="L89" s="16">
        <f t="shared" si="35"/>
        <v>31.94</v>
      </c>
      <c r="M89" s="31">
        <v>67000000</v>
      </c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E89" s="31"/>
      <c r="AF89" s="32">
        <f t="shared" si="36"/>
        <v>67000000</v>
      </c>
      <c r="AI89" s="31"/>
      <c r="AJ89" s="31">
        <v>3720695</v>
      </c>
      <c r="AK89" s="31">
        <v>1066400</v>
      </c>
      <c r="AL89" s="31">
        <v>1876000</v>
      </c>
      <c r="AM89" s="31">
        <v>938000</v>
      </c>
      <c r="AN89" s="31">
        <v>1407000</v>
      </c>
      <c r="AO89" s="32">
        <f t="shared" si="37"/>
        <v>9008095</v>
      </c>
      <c r="AR89" s="31"/>
      <c r="AS89" s="31"/>
      <c r="AT89" s="31"/>
      <c r="AU89" s="32">
        <f t="shared" si="38"/>
        <v>0</v>
      </c>
      <c r="AV89" s="41">
        <f t="shared" si="48"/>
        <v>9068556</v>
      </c>
      <c r="AX89" s="49">
        <v>0</v>
      </c>
      <c r="AY89" s="31">
        <v>0</v>
      </c>
      <c r="AZ89" s="31">
        <v>0</v>
      </c>
      <c r="BA89" s="20">
        <v>0</v>
      </c>
      <c r="BB89" s="31">
        <v>0</v>
      </c>
      <c r="BC89" s="31">
        <f t="shared" si="49"/>
        <v>60461</v>
      </c>
      <c r="BD89" s="35">
        <f t="shared" si="39"/>
        <v>60461</v>
      </c>
      <c r="BF89" s="28">
        <f t="shared" si="50"/>
        <v>11.399999999999999</v>
      </c>
      <c r="BG89" s="28">
        <f t="shared" si="51"/>
        <v>100.65140305320784</v>
      </c>
      <c r="BH89" s="31">
        <f t="shared" si="40"/>
        <v>76372830.224000007</v>
      </c>
      <c r="BI89" s="31">
        <f t="shared" si="52"/>
        <v>181383</v>
      </c>
      <c r="BJ89" s="40">
        <f t="shared" si="41"/>
        <v>304274.22399999999</v>
      </c>
      <c r="BK89" s="40">
        <f t="shared" si="42"/>
        <v>34462.769999999997</v>
      </c>
      <c r="BL89" s="31">
        <f t="shared" si="43"/>
        <v>76588675.994000003</v>
      </c>
      <c r="BM89" s="36">
        <v>3023.05</v>
      </c>
      <c r="BN89" s="37">
        <f t="shared" si="44"/>
        <v>25263.5</v>
      </c>
      <c r="BO89" s="37">
        <f t="shared" si="45"/>
        <v>60</v>
      </c>
      <c r="BP89" s="37">
        <f t="shared" si="46"/>
        <v>11.4</v>
      </c>
      <c r="BQ89" s="37">
        <f t="shared" si="47"/>
        <v>25334.9</v>
      </c>
      <c r="BR89" s="38">
        <v>25334.93</v>
      </c>
      <c r="BS89" s="37">
        <f t="shared" si="53"/>
        <v>-2.9999999998835847E-2</v>
      </c>
      <c r="BT89" s="46" t="s">
        <v>423</v>
      </c>
      <c r="BW89" s="31">
        <f t="shared" si="54"/>
        <v>120922</v>
      </c>
      <c r="BX89" s="31">
        <f t="shared" si="55"/>
        <v>60461</v>
      </c>
    </row>
    <row r="90" spans="1:76" x14ac:dyDescent="0.3">
      <c r="A90" s="47" t="s">
        <v>424</v>
      </c>
      <c r="B90" s="16" t="s">
        <v>425</v>
      </c>
      <c r="C90" s="39" t="s">
        <v>426</v>
      </c>
      <c r="D90" s="29">
        <v>45520.208518518513</v>
      </c>
      <c r="E90" s="29"/>
      <c r="F90" s="16" t="s">
        <v>122</v>
      </c>
      <c r="G90" s="16" t="s">
        <v>123</v>
      </c>
      <c r="H90" s="16" t="s">
        <v>32</v>
      </c>
      <c r="I90" s="16" t="s">
        <v>156</v>
      </c>
      <c r="J90" s="30" t="s">
        <v>125</v>
      </c>
      <c r="K90" s="16" t="s">
        <v>126</v>
      </c>
      <c r="L90" s="16">
        <f t="shared" si="35"/>
        <v>31.94</v>
      </c>
      <c r="M90" s="31">
        <v>7350000</v>
      </c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E90" s="31"/>
      <c r="AF90" s="32">
        <f t="shared" si="36"/>
        <v>7350000</v>
      </c>
      <c r="AI90" s="31">
        <v>882000</v>
      </c>
      <c r="AJ90" s="31"/>
      <c r="AK90" s="31">
        <v>38400</v>
      </c>
      <c r="AL90" s="31">
        <v>294000</v>
      </c>
      <c r="AM90" s="31"/>
      <c r="AN90" s="31"/>
      <c r="AO90" s="32">
        <f t="shared" si="37"/>
        <v>1214400</v>
      </c>
      <c r="AR90" s="31">
        <v>612500</v>
      </c>
      <c r="AS90" s="31">
        <v>612500</v>
      </c>
      <c r="AT90" s="31">
        <v>104125</v>
      </c>
      <c r="AU90" s="32">
        <f t="shared" si="38"/>
        <v>1329125</v>
      </c>
      <c r="AV90" s="41">
        <f t="shared" si="48"/>
        <v>2603986</v>
      </c>
      <c r="AX90" s="31">
        <v>0</v>
      </c>
      <c r="AY90" s="31">
        <v>0</v>
      </c>
      <c r="AZ90" s="40">
        <v>141000</v>
      </c>
      <c r="BA90" s="20">
        <v>0</v>
      </c>
      <c r="BB90" s="31">
        <v>0</v>
      </c>
      <c r="BC90" s="31">
        <f t="shared" si="49"/>
        <v>60461</v>
      </c>
      <c r="BD90" s="35">
        <f t="shared" si="39"/>
        <v>201461</v>
      </c>
      <c r="BF90" s="42">
        <f t="shared" si="50"/>
        <v>11.399999999999999</v>
      </c>
      <c r="BG90" s="42">
        <f t="shared" si="51"/>
        <v>13.35735234283257</v>
      </c>
      <c r="BH90" s="31">
        <f t="shared" si="40"/>
        <v>10135365.944</v>
      </c>
      <c r="BI90" s="31">
        <f t="shared" si="52"/>
        <v>181383</v>
      </c>
      <c r="BJ90" s="31">
        <f t="shared" si="41"/>
        <v>40379.944000000003</v>
      </c>
      <c r="BK90" s="31">
        <f t="shared" si="42"/>
        <v>34462.769999999997</v>
      </c>
      <c r="BL90" s="31">
        <f t="shared" si="43"/>
        <v>10351211.714</v>
      </c>
      <c r="BM90" s="36">
        <v>3023.05</v>
      </c>
      <c r="BN90" s="37">
        <f t="shared" si="44"/>
        <v>3352.7</v>
      </c>
      <c r="BO90" s="37">
        <f t="shared" si="45"/>
        <v>60</v>
      </c>
      <c r="BP90" s="37">
        <f t="shared" si="46"/>
        <v>11.4</v>
      </c>
      <c r="BQ90" s="37">
        <f t="shared" si="47"/>
        <v>3424.1</v>
      </c>
      <c r="BR90" s="38">
        <v>3424.12</v>
      </c>
      <c r="BS90" s="37">
        <f t="shared" si="53"/>
        <v>-1.999999999998181E-2</v>
      </c>
      <c r="BT90" s="46"/>
      <c r="BW90" s="31">
        <f t="shared" si="54"/>
        <v>120922</v>
      </c>
      <c r="BX90" s="31">
        <f t="shared" si="55"/>
        <v>60461</v>
      </c>
    </row>
    <row r="91" spans="1:76" x14ac:dyDescent="0.3">
      <c r="A91" s="47" t="s">
        <v>427</v>
      </c>
      <c r="B91" s="16" t="s">
        <v>428</v>
      </c>
      <c r="C91" s="39" t="s">
        <v>429</v>
      </c>
      <c r="D91" s="29">
        <v>45832.208518518513</v>
      </c>
      <c r="E91" s="29"/>
      <c r="F91" s="16" t="s">
        <v>122</v>
      </c>
      <c r="G91" s="16" t="s">
        <v>123</v>
      </c>
      <c r="H91" s="16" t="s">
        <v>15</v>
      </c>
      <c r="I91" s="16" t="s">
        <v>148</v>
      </c>
      <c r="J91" s="30" t="s">
        <v>125</v>
      </c>
      <c r="K91" s="16" t="s">
        <v>126</v>
      </c>
      <c r="L91" s="16">
        <f t="shared" si="35"/>
        <v>31.94</v>
      </c>
      <c r="M91" s="40">
        <v>6470620</v>
      </c>
      <c r="N91" s="31"/>
      <c r="O91" s="31"/>
      <c r="P91" s="31"/>
      <c r="Q91" s="31"/>
      <c r="R91" s="40">
        <v>936699</v>
      </c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E91" s="31"/>
      <c r="AF91" s="32">
        <f t="shared" si="36"/>
        <v>7407319</v>
      </c>
      <c r="AI91" s="31">
        <v>888907</v>
      </c>
      <c r="AJ91" s="31"/>
      <c r="AK91" s="31">
        <v>38700</v>
      </c>
      <c r="AL91" s="31">
        <v>296300</v>
      </c>
      <c r="AM91" s="31"/>
      <c r="AN91" s="31"/>
      <c r="AO91" s="32">
        <f t="shared" si="37"/>
        <v>1223907</v>
      </c>
      <c r="AR91" s="31">
        <v>617276</v>
      </c>
      <c r="AS91" s="31">
        <v>617277</v>
      </c>
      <c r="AT91" s="31">
        <v>103054</v>
      </c>
      <c r="AU91" s="32">
        <f t="shared" si="38"/>
        <v>1337607</v>
      </c>
      <c r="AV91" s="41">
        <f t="shared" si="48"/>
        <v>2621975</v>
      </c>
      <c r="AX91" s="31">
        <v>0</v>
      </c>
      <c r="AY91" s="31">
        <v>0</v>
      </c>
      <c r="AZ91" s="31">
        <v>0</v>
      </c>
      <c r="BA91" s="20">
        <v>0</v>
      </c>
      <c r="BB91" s="31">
        <v>0</v>
      </c>
      <c r="BC91" s="31">
        <f t="shared" si="49"/>
        <v>60461</v>
      </c>
      <c r="BD91" s="35">
        <f t="shared" si="39"/>
        <v>60461</v>
      </c>
      <c r="BF91" s="42">
        <f t="shared" si="50"/>
        <v>11.399999999999999</v>
      </c>
      <c r="BG91" s="42">
        <f t="shared" si="51"/>
        <v>13.270430856254444</v>
      </c>
      <c r="BH91" s="31">
        <f t="shared" si="40"/>
        <v>10069411.176000001</v>
      </c>
      <c r="BI91" s="31">
        <f t="shared" si="52"/>
        <v>181383</v>
      </c>
      <c r="BJ91" s="31">
        <f t="shared" si="41"/>
        <v>40117.175999999999</v>
      </c>
      <c r="BK91" s="31">
        <f t="shared" si="42"/>
        <v>34462.769999999997</v>
      </c>
      <c r="BL91" s="31">
        <f t="shared" si="43"/>
        <v>10285256.946</v>
      </c>
      <c r="BM91" s="36">
        <v>3023.05</v>
      </c>
      <c r="BN91" s="37">
        <f t="shared" si="44"/>
        <v>3330.88</v>
      </c>
      <c r="BO91" s="37">
        <f t="shared" si="45"/>
        <v>60</v>
      </c>
      <c r="BP91" s="37">
        <f t="shared" si="46"/>
        <v>11.4</v>
      </c>
      <c r="BQ91" s="37">
        <f t="shared" si="47"/>
        <v>3402.28</v>
      </c>
      <c r="BR91" s="38">
        <v>3402.29</v>
      </c>
      <c r="BS91" s="37">
        <f t="shared" si="53"/>
        <v>-9.9999999997635314E-3</v>
      </c>
      <c r="BT91" s="46"/>
      <c r="BW91" s="31">
        <f t="shared" si="54"/>
        <v>120922</v>
      </c>
      <c r="BX91" s="31">
        <f t="shared" si="55"/>
        <v>60461</v>
      </c>
    </row>
    <row r="92" spans="1:76" x14ac:dyDescent="0.3">
      <c r="A92" s="47" t="s">
        <v>430</v>
      </c>
      <c r="B92" s="16" t="s">
        <v>431</v>
      </c>
      <c r="C92" s="39" t="s">
        <v>432</v>
      </c>
      <c r="D92" s="29">
        <v>46258.208518518513</v>
      </c>
      <c r="E92" s="29"/>
      <c r="F92" s="16" t="s">
        <v>122</v>
      </c>
      <c r="G92" s="16" t="s">
        <v>123</v>
      </c>
      <c r="H92" s="16" t="s">
        <v>15</v>
      </c>
      <c r="I92" s="16" t="s">
        <v>148</v>
      </c>
      <c r="J92" s="30" t="s">
        <v>125</v>
      </c>
      <c r="K92" s="16" t="s">
        <v>126</v>
      </c>
      <c r="L92" s="16">
        <f t="shared" si="35"/>
        <v>31.94</v>
      </c>
      <c r="M92" s="31">
        <v>3550000</v>
      </c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E92" s="31"/>
      <c r="AF92" s="32">
        <f t="shared" si="36"/>
        <v>3550000</v>
      </c>
      <c r="AI92" s="31">
        <v>426000</v>
      </c>
      <c r="AJ92" s="31"/>
      <c r="AK92" s="31">
        <v>18600</v>
      </c>
      <c r="AL92" s="31">
        <v>142000</v>
      </c>
      <c r="AM92" s="31"/>
      <c r="AN92" s="31"/>
      <c r="AO92" s="32">
        <f t="shared" si="37"/>
        <v>586600</v>
      </c>
      <c r="AR92" s="31">
        <v>295833</v>
      </c>
      <c r="AS92" s="31">
        <v>295833</v>
      </c>
      <c r="AT92" s="31">
        <v>4339</v>
      </c>
      <c r="AU92" s="32">
        <f t="shared" si="38"/>
        <v>596005</v>
      </c>
      <c r="AV92" s="41">
        <f t="shared" si="48"/>
        <v>1243066</v>
      </c>
      <c r="AX92" s="31">
        <v>0</v>
      </c>
      <c r="AY92" s="31">
        <v>0</v>
      </c>
      <c r="AZ92" s="40">
        <v>107500</v>
      </c>
      <c r="BA92" s="20">
        <v>0</v>
      </c>
      <c r="BB92" s="31">
        <v>0</v>
      </c>
      <c r="BC92" s="31">
        <f t="shared" si="49"/>
        <v>60461</v>
      </c>
      <c r="BD92" s="35">
        <f t="shared" si="39"/>
        <v>167961</v>
      </c>
      <c r="BF92" s="42">
        <f t="shared" si="50"/>
        <v>11.399999999999999</v>
      </c>
      <c r="BG92" s="42">
        <f t="shared" si="51"/>
        <v>6.4842672135756931</v>
      </c>
      <c r="BH92" s="31">
        <f t="shared" si="40"/>
        <v>4920168.2640000004</v>
      </c>
      <c r="BI92" s="31">
        <f t="shared" si="52"/>
        <v>181383</v>
      </c>
      <c r="BJ92" s="31">
        <f t="shared" si="41"/>
        <v>19602.263999999999</v>
      </c>
      <c r="BK92" s="31">
        <f t="shared" si="42"/>
        <v>34462.769999999997</v>
      </c>
      <c r="BL92" s="31">
        <f t="shared" si="43"/>
        <v>5136014.034</v>
      </c>
      <c r="BM92" s="36">
        <v>3023.05</v>
      </c>
      <c r="BN92" s="37">
        <f t="shared" si="44"/>
        <v>1627.55</v>
      </c>
      <c r="BO92" s="37">
        <f t="shared" si="45"/>
        <v>60</v>
      </c>
      <c r="BP92" s="37">
        <f t="shared" si="46"/>
        <v>11.4</v>
      </c>
      <c r="BQ92" s="37">
        <f t="shared" si="47"/>
        <v>1698.95</v>
      </c>
      <c r="BR92" s="38">
        <v>1698.97</v>
      </c>
      <c r="BS92" s="37">
        <f t="shared" si="53"/>
        <v>-1.999999999998181E-2</v>
      </c>
      <c r="BT92" s="46"/>
      <c r="BW92" s="31">
        <f t="shared" si="54"/>
        <v>120922</v>
      </c>
      <c r="BX92" s="31">
        <f t="shared" si="55"/>
        <v>60461</v>
      </c>
    </row>
    <row r="93" spans="1:76" x14ac:dyDescent="0.3">
      <c r="A93" s="47" t="s">
        <v>433</v>
      </c>
      <c r="B93" s="16" t="s">
        <v>434</v>
      </c>
      <c r="C93" s="27" t="s">
        <v>435</v>
      </c>
      <c r="D93" s="29">
        <v>46082.208518518513</v>
      </c>
      <c r="E93" s="29"/>
      <c r="F93" s="16" t="s">
        <v>122</v>
      </c>
      <c r="G93" s="16" t="s">
        <v>123</v>
      </c>
      <c r="H93" s="16" t="s">
        <v>17</v>
      </c>
      <c r="I93" s="16" t="s">
        <v>264</v>
      </c>
      <c r="J93" s="30" t="s">
        <v>125</v>
      </c>
      <c r="K93" s="16" t="s">
        <v>126</v>
      </c>
      <c r="L93" s="16">
        <f t="shared" si="35"/>
        <v>31.94</v>
      </c>
      <c r="M93" s="31">
        <v>5300000</v>
      </c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E93" s="31"/>
      <c r="AF93" s="32">
        <f t="shared" si="36"/>
        <v>5300000</v>
      </c>
      <c r="AI93" s="31">
        <v>636000</v>
      </c>
      <c r="AJ93" s="31"/>
      <c r="AK93" s="31">
        <v>129200</v>
      </c>
      <c r="AL93" s="31">
        <v>212000</v>
      </c>
      <c r="AM93" s="31"/>
      <c r="AN93" s="31"/>
      <c r="AO93" s="32">
        <f t="shared" si="37"/>
        <v>977200</v>
      </c>
      <c r="AR93" s="31">
        <v>441667</v>
      </c>
      <c r="AS93" s="31">
        <v>441667</v>
      </c>
      <c r="AT93" s="31">
        <v>57417</v>
      </c>
      <c r="AU93" s="32">
        <f t="shared" si="38"/>
        <v>940751</v>
      </c>
      <c r="AV93" s="41">
        <f t="shared" si="48"/>
        <v>1978412</v>
      </c>
      <c r="AX93" s="31">
        <v>0</v>
      </c>
      <c r="AY93" s="31">
        <v>0</v>
      </c>
      <c r="AZ93" s="31">
        <v>0</v>
      </c>
      <c r="BA93" s="20">
        <v>0</v>
      </c>
      <c r="BB93" s="31">
        <v>0</v>
      </c>
      <c r="BC93" s="31">
        <f t="shared" si="49"/>
        <v>60461</v>
      </c>
      <c r="BD93" s="35">
        <f t="shared" si="39"/>
        <v>60461</v>
      </c>
      <c r="BF93" s="28">
        <f t="shared" si="50"/>
        <v>11.399999999999999</v>
      </c>
      <c r="BG93" s="28">
        <f t="shared" si="51"/>
        <v>9.6305545723689647</v>
      </c>
      <c r="BH93" s="31">
        <f t="shared" si="40"/>
        <v>7307525.648</v>
      </c>
      <c r="BI93" s="31">
        <f t="shared" si="52"/>
        <v>181383</v>
      </c>
      <c r="BJ93" s="40">
        <f t="shared" si="41"/>
        <v>29113.648000000001</v>
      </c>
      <c r="BK93" s="40">
        <f t="shared" si="42"/>
        <v>34462.769999999997</v>
      </c>
      <c r="BL93" s="31">
        <f t="shared" si="43"/>
        <v>7523371.4179999996</v>
      </c>
      <c r="BM93" s="36">
        <v>3023.05</v>
      </c>
      <c r="BN93" s="37">
        <f t="shared" si="44"/>
        <v>2417.27</v>
      </c>
      <c r="BO93" s="37">
        <f t="shared" si="45"/>
        <v>60</v>
      </c>
      <c r="BP93" s="37">
        <f t="shared" si="46"/>
        <v>11.4</v>
      </c>
      <c r="BQ93" s="37">
        <f t="shared" si="47"/>
        <v>2488.67</v>
      </c>
      <c r="BR93" s="38">
        <v>2488.6799999999998</v>
      </c>
      <c r="BS93" s="37">
        <f t="shared" si="53"/>
        <v>-9.9999999997635314E-3</v>
      </c>
      <c r="BT93" s="46"/>
      <c r="BW93" s="31">
        <f t="shared" si="54"/>
        <v>120922</v>
      </c>
      <c r="BX93" s="31">
        <f t="shared" si="55"/>
        <v>60461</v>
      </c>
    </row>
    <row r="94" spans="1:76" x14ac:dyDescent="0.3">
      <c r="A94" s="47" t="s">
        <v>436</v>
      </c>
      <c r="B94" s="16" t="s">
        <v>437</v>
      </c>
      <c r="C94" s="27" t="s">
        <v>438</v>
      </c>
      <c r="D94" s="29">
        <v>46082.208518518513</v>
      </c>
      <c r="E94" s="29"/>
      <c r="F94" s="16" t="s">
        <v>122</v>
      </c>
      <c r="G94" s="16" t="s">
        <v>123</v>
      </c>
      <c r="H94" s="16" t="s">
        <v>17</v>
      </c>
      <c r="I94" s="16" t="s">
        <v>264</v>
      </c>
      <c r="J94" s="30" t="s">
        <v>125</v>
      </c>
      <c r="K94" s="16" t="s">
        <v>126</v>
      </c>
      <c r="L94" s="16">
        <f t="shared" si="35"/>
        <v>31.94</v>
      </c>
      <c r="M94" s="31">
        <v>5166700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E94" s="31"/>
      <c r="AF94" s="32">
        <f t="shared" si="36"/>
        <v>5166700</v>
      </c>
      <c r="AI94" s="31">
        <v>620032</v>
      </c>
      <c r="AJ94" s="31"/>
      <c r="AK94" s="31">
        <v>125900</v>
      </c>
      <c r="AL94" s="31">
        <v>206700</v>
      </c>
      <c r="AM94" s="31"/>
      <c r="AN94" s="31"/>
      <c r="AO94" s="32">
        <f t="shared" si="37"/>
        <v>952632</v>
      </c>
      <c r="AR94" s="31">
        <v>430558</v>
      </c>
      <c r="AS94" s="31">
        <v>430558</v>
      </c>
      <c r="AT94" s="31">
        <v>55973</v>
      </c>
      <c r="AU94" s="32">
        <f t="shared" si="38"/>
        <v>917089</v>
      </c>
      <c r="AV94" s="41">
        <f t="shared" si="48"/>
        <v>1930182</v>
      </c>
      <c r="AX94" s="31">
        <v>0</v>
      </c>
      <c r="AY94" s="31">
        <v>0</v>
      </c>
      <c r="AZ94" s="31">
        <v>0</v>
      </c>
      <c r="BA94" s="20">
        <v>0</v>
      </c>
      <c r="BB94" s="31">
        <v>0</v>
      </c>
      <c r="BC94" s="31">
        <f t="shared" si="49"/>
        <v>60461</v>
      </c>
      <c r="BD94" s="35">
        <f t="shared" si="39"/>
        <v>60461</v>
      </c>
      <c r="BF94" s="28">
        <f t="shared" si="50"/>
        <v>11.399999999999999</v>
      </c>
      <c r="BG94" s="28">
        <f t="shared" si="51"/>
        <v>9.3903600668199338</v>
      </c>
      <c r="BH94" s="31">
        <f t="shared" si="40"/>
        <v>7125269.5279999999</v>
      </c>
      <c r="BI94" s="31">
        <f t="shared" si="52"/>
        <v>181383</v>
      </c>
      <c r="BJ94" s="40">
        <f t="shared" si="41"/>
        <v>28387.528000000002</v>
      </c>
      <c r="BK94" s="40">
        <f t="shared" si="42"/>
        <v>34462.769999999997</v>
      </c>
      <c r="BL94" s="31">
        <f t="shared" si="43"/>
        <v>7341115.2979999995</v>
      </c>
      <c r="BM94" s="36">
        <v>3023.05</v>
      </c>
      <c r="BN94" s="37">
        <f t="shared" si="44"/>
        <v>2356.98</v>
      </c>
      <c r="BO94" s="37">
        <f t="shared" si="45"/>
        <v>60</v>
      </c>
      <c r="BP94" s="37">
        <f t="shared" si="46"/>
        <v>11.4</v>
      </c>
      <c r="BQ94" s="37">
        <f t="shared" si="47"/>
        <v>2428.38</v>
      </c>
      <c r="BR94" s="38">
        <v>2428.39</v>
      </c>
      <c r="BS94" s="37">
        <f t="shared" si="53"/>
        <v>-9.9999999997635314E-3</v>
      </c>
      <c r="BT94" s="46"/>
      <c r="BW94" s="31">
        <f t="shared" si="54"/>
        <v>120922</v>
      </c>
      <c r="BX94" s="31">
        <f t="shared" si="55"/>
        <v>60461</v>
      </c>
    </row>
    <row r="95" spans="1:76" x14ac:dyDescent="0.3">
      <c r="A95" s="47" t="s">
        <v>439</v>
      </c>
      <c r="B95" s="16" t="s">
        <v>440</v>
      </c>
      <c r="C95" s="39" t="s">
        <v>441</v>
      </c>
      <c r="D95" s="29">
        <v>46224.208518518513</v>
      </c>
      <c r="E95" s="29"/>
      <c r="F95" s="16" t="s">
        <v>122</v>
      </c>
      <c r="G95" s="16" t="s">
        <v>123</v>
      </c>
      <c r="H95" s="16" t="s">
        <v>43</v>
      </c>
      <c r="I95" s="16" t="s">
        <v>140</v>
      </c>
      <c r="J95" s="30" t="s">
        <v>125</v>
      </c>
      <c r="K95" s="16" t="s">
        <v>126</v>
      </c>
      <c r="L95" s="16">
        <f t="shared" si="35"/>
        <v>31.94</v>
      </c>
      <c r="M95" s="40">
        <v>2213000</v>
      </c>
      <c r="N95" s="31"/>
      <c r="O95" s="31"/>
      <c r="P95" s="31"/>
      <c r="Q95" s="31"/>
      <c r="R95" s="31"/>
      <c r="S95" s="31">
        <v>150000</v>
      </c>
      <c r="T95" s="31"/>
      <c r="U95" s="31"/>
      <c r="V95" s="31"/>
      <c r="W95" s="31"/>
      <c r="X95" s="31"/>
      <c r="Y95" s="31"/>
      <c r="Z95" s="40">
        <v>232489</v>
      </c>
      <c r="AA95" s="31"/>
      <c r="AB95" s="31"/>
      <c r="AC95" s="31"/>
      <c r="AE95" s="31"/>
      <c r="AF95" s="32">
        <f t="shared" si="36"/>
        <v>2595489</v>
      </c>
      <c r="AI95" s="31">
        <v>283680</v>
      </c>
      <c r="AJ95" s="31"/>
      <c r="AK95" s="31">
        <v>11600</v>
      </c>
      <c r="AL95" s="31">
        <v>94700</v>
      </c>
      <c r="AM95" s="31"/>
      <c r="AN95" s="31"/>
      <c r="AO95" s="32">
        <f t="shared" si="37"/>
        <v>389980</v>
      </c>
      <c r="AR95" s="31">
        <v>216291</v>
      </c>
      <c r="AS95" s="31">
        <v>216291</v>
      </c>
      <c r="AT95" s="31">
        <v>7782</v>
      </c>
      <c r="AU95" s="32">
        <f t="shared" si="38"/>
        <v>440364</v>
      </c>
      <c r="AV95" s="41">
        <f t="shared" si="48"/>
        <v>890805</v>
      </c>
      <c r="AX95" s="31">
        <v>0</v>
      </c>
      <c r="AY95" s="31">
        <v>0</v>
      </c>
      <c r="AZ95" s="31">
        <v>0</v>
      </c>
      <c r="BA95" s="20">
        <v>0</v>
      </c>
      <c r="BB95" s="31">
        <v>0</v>
      </c>
      <c r="BC95" s="31">
        <f t="shared" si="49"/>
        <v>60461</v>
      </c>
      <c r="BD95" s="35">
        <f t="shared" si="39"/>
        <v>60461</v>
      </c>
      <c r="BF95" s="42">
        <f t="shared" si="50"/>
        <v>11.399999999999999</v>
      </c>
      <c r="BG95" s="42">
        <f t="shared" si="51"/>
        <v>4.6129491738476034</v>
      </c>
      <c r="BH95" s="31">
        <f t="shared" si="40"/>
        <v>3500239.176</v>
      </c>
      <c r="BI95" s="31">
        <f t="shared" si="52"/>
        <v>181383</v>
      </c>
      <c r="BJ95" s="31">
        <f t="shared" si="41"/>
        <v>13945.175999999999</v>
      </c>
      <c r="BK95" s="31">
        <f t="shared" si="42"/>
        <v>34462.769999999997</v>
      </c>
      <c r="BL95" s="31">
        <f t="shared" si="43"/>
        <v>3716084.946</v>
      </c>
      <c r="BM95" s="36">
        <v>3023.05</v>
      </c>
      <c r="BN95" s="37">
        <f t="shared" si="44"/>
        <v>1157.8499999999999</v>
      </c>
      <c r="BO95" s="37">
        <f t="shared" si="45"/>
        <v>60</v>
      </c>
      <c r="BP95" s="37">
        <f t="shared" si="46"/>
        <v>11.4</v>
      </c>
      <c r="BQ95" s="37">
        <f t="shared" si="47"/>
        <v>1229.25</v>
      </c>
      <c r="BR95" s="38">
        <v>1229.27</v>
      </c>
      <c r="BS95" s="37">
        <f t="shared" si="53"/>
        <v>-1.999999999998181E-2</v>
      </c>
      <c r="BT95" s="46" t="s">
        <v>442</v>
      </c>
      <c r="BW95" s="31">
        <f t="shared" si="54"/>
        <v>120922</v>
      </c>
      <c r="BX95" s="31">
        <f t="shared" si="55"/>
        <v>60461</v>
      </c>
    </row>
    <row r="96" spans="1:76" x14ac:dyDescent="0.3">
      <c r="A96" s="47" t="s">
        <v>443</v>
      </c>
      <c r="B96" s="16" t="s">
        <v>444</v>
      </c>
      <c r="C96" s="27" t="s">
        <v>445</v>
      </c>
      <c r="D96" s="29">
        <v>46037.208518518513</v>
      </c>
      <c r="E96" s="29"/>
      <c r="F96" s="16" t="s">
        <v>122</v>
      </c>
      <c r="G96" s="16" t="s">
        <v>123</v>
      </c>
      <c r="H96" s="16" t="s">
        <v>27</v>
      </c>
      <c r="I96" s="16" t="s">
        <v>175</v>
      </c>
      <c r="J96" s="30" t="s">
        <v>125</v>
      </c>
      <c r="K96" s="16" t="s">
        <v>126</v>
      </c>
      <c r="L96" s="16">
        <f t="shared" si="35"/>
        <v>31.94</v>
      </c>
      <c r="M96" s="31">
        <v>5300000</v>
      </c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E96" s="31"/>
      <c r="AF96" s="32">
        <f t="shared" si="36"/>
        <v>5300000</v>
      </c>
      <c r="AI96" s="31">
        <v>636000</v>
      </c>
      <c r="AJ96" s="31"/>
      <c r="AK96" s="31">
        <v>129200</v>
      </c>
      <c r="AL96" s="31">
        <v>212000</v>
      </c>
      <c r="AM96" s="31"/>
      <c r="AN96" s="31"/>
      <c r="AO96" s="32">
        <f t="shared" si="37"/>
        <v>977200</v>
      </c>
      <c r="AR96" s="31">
        <v>441667</v>
      </c>
      <c r="AS96" s="31">
        <v>441666</v>
      </c>
      <c r="AT96" s="31">
        <v>73095</v>
      </c>
      <c r="AU96" s="32">
        <f t="shared" si="38"/>
        <v>956428</v>
      </c>
      <c r="AV96" s="41">
        <f t="shared" si="48"/>
        <v>1994089</v>
      </c>
      <c r="AX96" s="31">
        <v>0</v>
      </c>
      <c r="AY96" s="31">
        <v>0</v>
      </c>
      <c r="AZ96" s="31">
        <v>0</v>
      </c>
      <c r="BA96" s="20">
        <v>0</v>
      </c>
      <c r="BB96" s="31">
        <v>0</v>
      </c>
      <c r="BC96" s="31">
        <f t="shared" si="49"/>
        <v>60461</v>
      </c>
      <c r="BD96" s="35">
        <f t="shared" si="39"/>
        <v>60461</v>
      </c>
      <c r="BF96" s="28">
        <f t="shared" si="50"/>
        <v>11.399999999999999</v>
      </c>
      <c r="BG96" s="28">
        <f t="shared" si="51"/>
        <v>9.6512978614313347</v>
      </c>
      <c r="BH96" s="31">
        <f t="shared" si="40"/>
        <v>7323265.3559999997</v>
      </c>
      <c r="BI96" s="31">
        <f t="shared" si="52"/>
        <v>181383</v>
      </c>
      <c r="BJ96" s="40">
        <f t="shared" si="41"/>
        <v>29176.356</v>
      </c>
      <c r="BK96" s="40">
        <f t="shared" si="42"/>
        <v>34462.769999999997</v>
      </c>
      <c r="BL96" s="31">
        <f t="shared" si="43"/>
        <v>7539111.1259999992</v>
      </c>
      <c r="BM96" s="36">
        <v>3023.05</v>
      </c>
      <c r="BN96" s="37">
        <f t="shared" si="44"/>
        <v>2422.48</v>
      </c>
      <c r="BO96" s="37">
        <f t="shared" si="45"/>
        <v>60</v>
      </c>
      <c r="BP96" s="37">
        <f t="shared" si="46"/>
        <v>11.4</v>
      </c>
      <c r="BQ96" s="37">
        <f t="shared" si="47"/>
        <v>2493.88</v>
      </c>
      <c r="BR96" s="38">
        <v>2493.88</v>
      </c>
      <c r="BS96" s="37">
        <f t="shared" si="53"/>
        <v>0</v>
      </c>
      <c r="BT96" s="46"/>
      <c r="BW96" s="31">
        <f t="shared" si="54"/>
        <v>120922</v>
      </c>
      <c r="BX96" s="31">
        <f t="shared" si="55"/>
        <v>60461</v>
      </c>
    </row>
    <row r="97" spans="1:76" x14ac:dyDescent="0.3">
      <c r="A97" s="16" t="s">
        <v>446</v>
      </c>
      <c r="B97" s="16" t="s">
        <v>447</v>
      </c>
      <c r="C97" s="16" t="s">
        <v>448</v>
      </c>
      <c r="D97" s="29">
        <v>46237.208518518513</v>
      </c>
      <c r="E97" s="29">
        <v>46387.208518518513</v>
      </c>
      <c r="F97" s="16" t="s">
        <v>122</v>
      </c>
      <c r="G97" s="16" t="s">
        <v>123</v>
      </c>
      <c r="H97" s="16" t="s">
        <v>21</v>
      </c>
      <c r="I97" s="16" t="s">
        <v>449</v>
      </c>
      <c r="J97" s="30" t="s">
        <v>125</v>
      </c>
      <c r="K97" s="16" t="s">
        <v>126</v>
      </c>
      <c r="L97" s="16">
        <f t="shared" si="35"/>
        <v>31.94</v>
      </c>
      <c r="M97" s="31">
        <v>16708333</v>
      </c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E97" s="31"/>
      <c r="AF97" s="32">
        <f t="shared" si="36"/>
        <v>16708333</v>
      </c>
      <c r="AI97" s="31">
        <v>2005067</v>
      </c>
      <c r="AJ97" s="31"/>
      <c r="AK97" s="31">
        <v>87300</v>
      </c>
      <c r="AL97" s="31">
        <v>668400</v>
      </c>
      <c r="AM97" s="31"/>
      <c r="AN97" s="31"/>
      <c r="AO97" s="32">
        <f t="shared" si="37"/>
        <v>2760767</v>
      </c>
      <c r="AR97" s="31">
        <v>1392361</v>
      </c>
      <c r="AS97" s="31">
        <v>1392361</v>
      </c>
      <c r="AT97" s="31">
        <v>39914</v>
      </c>
      <c r="AU97" s="32">
        <f t="shared" si="38"/>
        <v>2824636</v>
      </c>
      <c r="AV97" s="34">
        <f t="shared" si="48"/>
        <v>5645864</v>
      </c>
      <c r="AX97" s="31">
        <v>0</v>
      </c>
      <c r="AY97" s="31">
        <v>0</v>
      </c>
      <c r="AZ97" s="31">
        <v>0</v>
      </c>
      <c r="BA97" s="20">
        <v>0</v>
      </c>
      <c r="BB97" s="31">
        <v>0</v>
      </c>
      <c r="BC97" s="31">
        <f t="shared" si="49"/>
        <v>60461</v>
      </c>
      <c r="BD97" s="35">
        <f t="shared" si="39"/>
        <v>60461</v>
      </c>
      <c r="BF97" s="28">
        <f t="shared" si="50"/>
        <v>11.399999999999999</v>
      </c>
      <c r="BG97" s="28">
        <f t="shared" si="51"/>
        <v>29.578335786705477</v>
      </c>
      <c r="BH97" s="31">
        <f t="shared" si="40"/>
        <v>22443613.787999999</v>
      </c>
      <c r="BI97" s="31">
        <f t="shared" si="52"/>
        <v>181383</v>
      </c>
      <c r="BJ97" s="31">
        <f t="shared" si="41"/>
        <v>89416.788</v>
      </c>
      <c r="BK97" s="31">
        <f t="shared" si="42"/>
        <v>34462.769999999997</v>
      </c>
      <c r="BL97" s="31">
        <f t="shared" si="43"/>
        <v>22659459.557999998</v>
      </c>
      <c r="BM97" s="36">
        <v>3023.05</v>
      </c>
      <c r="BN97" s="37">
        <f t="shared" si="44"/>
        <v>7424.16</v>
      </c>
      <c r="BO97" s="37">
        <f t="shared" si="45"/>
        <v>60</v>
      </c>
      <c r="BP97" s="37">
        <f t="shared" si="46"/>
        <v>11.4</v>
      </c>
      <c r="BQ97" s="37">
        <f t="shared" si="47"/>
        <v>7495.5599999999995</v>
      </c>
      <c r="BR97" s="38"/>
      <c r="BS97" s="37">
        <f t="shared" si="53"/>
        <v>7495.5599999999995</v>
      </c>
      <c r="BT97" s="46" t="s">
        <v>22</v>
      </c>
      <c r="BW97" s="31">
        <f t="shared" si="54"/>
        <v>120922</v>
      </c>
      <c r="BX97" s="31">
        <f t="shared" si="55"/>
        <v>60461</v>
      </c>
    </row>
    <row r="98" spans="1:76" x14ac:dyDescent="0.3">
      <c r="A98" s="47" t="s">
        <v>450</v>
      </c>
      <c r="B98" s="16" t="s">
        <v>451</v>
      </c>
      <c r="C98" s="27" t="s">
        <v>452</v>
      </c>
      <c r="D98" s="29">
        <v>45915.208518518513</v>
      </c>
      <c r="E98" s="29"/>
      <c r="F98" s="16" t="s">
        <v>122</v>
      </c>
      <c r="G98" s="16" t="s">
        <v>123</v>
      </c>
      <c r="H98" s="16" t="s">
        <v>24</v>
      </c>
      <c r="I98" s="16" t="s">
        <v>453</v>
      </c>
      <c r="J98" s="30" t="s">
        <v>125</v>
      </c>
      <c r="K98" s="16" t="s">
        <v>126</v>
      </c>
      <c r="L98" s="16">
        <f t="shared" si="35"/>
        <v>31.94</v>
      </c>
      <c r="M98" s="31">
        <v>10000000</v>
      </c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E98" s="31"/>
      <c r="AF98" s="32">
        <f t="shared" si="36"/>
        <v>10000000</v>
      </c>
      <c r="AI98" s="31">
        <v>1200000</v>
      </c>
      <c r="AJ98" s="31"/>
      <c r="AK98" s="31">
        <v>243600</v>
      </c>
      <c r="AL98" s="31">
        <v>400000</v>
      </c>
      <c r="AM98" s="31"/>
      <c r="AN98" s="31"/>
      <c r="AO98" s="32">
        <f t="shared" si="37"/>
        <v>1843600</v>
      </c>
      <c r="AR98" s="31">
        <v>833333</v>
      </c>
      <c r="AS98" s="31">
        <v>3866667</v>
      </c>
      <c r="AT98" s="31">
        <v>385733</v>
      </c>
      <c r="AU98" s="32">
        <f t="shared" si="38"/>
        <v>5085733</v>
      </c>
      <c r="AV98" s="41">
        <f t="shared" si="48"/>
        <v>6989794</v>
      </c>
      <c r="AX98" s="31">
        <v>0</v>
      </c>
      <c r="AY98" s="31">
        <v>0</v>
      </c>
      <c r="AZ98" s="31">
        <v>0</v>
      </c>
      <c r="BA98" s="20">
        <v>0</v>
      </c>
      <c r="BB98" s="31">
        <v>0</v>
      </c>
      <c r="BC98" s="31">
        <f t="shared" si="49"/>
        <v>60461</v>
      </c>
      <c r="BD98" s="35">
        <f t="shared" si="39"/>
        <v>60461</v>
      </c>
      <c r="BF98" s="28">
        <f t="shared" si="50"/>
        <v>11.399999999999999</v>
      </c>
      <c r="BG98" s="28">
        <f t="shared" si="51"/>
        <v>22.480334761251054</v>
      </c>
      <c r="BH98" s="31">
        <f t="shared" si="40"/>
        <v>17057753.175999999</v>
      </c>
      <c r="BI98" s="31">
        <f t="shared" si="52"/>
        <v>181383</v>
      </c>
      <c r="BJ98" s="40">
        <f t="shared" si="41"/>
        <v>67959.176000000007</v>
      </c>
      <c r="BK98" s="40">
        <f t="shared" si="42"/>
        <v>34462.769999999997</v>
      </c>
      <c r="BL98" s="31">
        <f t="shared" si="43"/>
        <v>17273598.945999999</v>
      </c>
      <c r="BM98" s="36">
        <v>3023.05</v>
      </c>
      <c r="BN98" s="37">
        <f t="shared" si="44"/>
        <v>5642.56</v>
      </c>
      <c r="BO98" s="37">
        <f t="shared" si="45"/>
        <v>60</v>
      </c>
      <c r="BP98" s="37">
        <f t="shared" si="46"/>
        <v>11.4</v>
      </c>
      <c r="BQ98" s="37">
        <f t="shared" si="47"/>
        <v>5713.96</v>
      </c>
      <c r="BR98" s="38">
        <v>5713.97</v>
      </c>
      <c r="BS98" s="37">
        <f t="shared" si="53"/>
        <v>-1.0000000000218279E-2</v>
      </c>
      <c r="BT98" s="46"/>
      <c r="BW98" s="31">
        <f t="shared" si="54"/>
        <v>120922</v>
      </c>
      <c r="BX98" s="31">
        <f t="shared" si="55"/>
        <v>60461</v>
      </c>
    </row>
    <row r="99" spans="1:76" x14ac:dyDescent="0.3">
      <c r="A99" s="47" t="s">
        <v>454</v>
      </c>
      <c r="B99" s="16" t="s">
        <v>455</v>
      </c>
      <c r="C99" s="39" t="s">
        <v>456</v>
      </c>
      <c r="D99" s="29">
        <v>46272.208518518513</v>
      </c>
      <c r="E99" s="29">
        <v>46446.208518518513</v>
      </c>
      <c r="F99" s="16" t="s">
        <v>217</v>
      </c>
      <c r="G99" s="16" t="s">
        <v>123</v>
      </c>
      <c r="H99" s="16" t="s">
        <v>43</v>
      </c>
      <c r="I99" s="16" t="s">
        <v>140</v>
      </c>
      <c r="J99" s="30" t="s">
        <v>125</v>
      </c>
      <c r="K99" s="16" t="s">
        <v>126</v>
      </c>
      <c r="L99" s="16">
        <f t="shared" si="35"/>
        <v>31.94</v>
      </c>
      <c r="M99" s="40">
        <v>2260000</v>
      </c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40">
        <v>199276</v>
      </c>
      <c r="AA99" s="31"/>
      <c r="AB99" s="31"/>
      <c r="AC99" s="31"/>
      <c r="AE99" s="31"/>
      <c r="AF99" s="32">
        <f t="shared" si="36"/>
        <v>2459276</v>
      </c>
      <c r="AI99" s="31">
        <v>271200</v>
      </c>
      <c r="AJ99" s="31"/>
      <c r="AK99" s="31">
        <v>11800</v>
      </c>
      <c r="AL99" s="31">
        <v>90400</v>
      </c>
      <c r="AM99" s="31"/>
      <c r="AN99" s="31"/>
      <c r="AO99" s="32">
        <f t="shared" si="37"/>
        <v>373400</v>
      </c>
      <c r="AR99" s="31">
        <v>204940</v>
      </c>
      <c r="AS99" s="31">
        <v>204940</v>
      </c>
      <c r="AT99" s="31">
        <v>1640</v>
      </c>
      <c r="AU99" s="32">
        <f t="shared" si="38"/>
        <v>411520</v>
      </c>
      <c r="AV99" s="41">
        <f t="shared" si="48"/>
        <v>845381</v>
      </c>
      <c r="AX99" s="31">
        <v>0</v>
      </c>
      <c r="AY99" s="31">
        <v>0</v>
      </c>
      <c r="AZ99" s="31">
        <v>107500</v>
      </c>
      <c r="BA99" s="20">
        <v>0</v>
      </c>
      <c r="BB99" s="31">
        <v>0</v>
      </c>
      <c r="BC99" s="31">
        <f t="shared" si="49"/>
        <v>60461</v>
      </c>
      <c r="BD99" s="35">
        <f t="shared" si="39"/>
        <v>167961</v>
      </c>
      <c r="BF99" s="42">
        <f t="shared" si="50"/>
        <v>11.399999999999999</v>
      </c>
      <c r="BG99" s="42">
        <f t="shared" si="51"/>
        <v>4.5148535419526636</v>
      </c>
      <c r="BH99" s="31">
        <f t="shared" si="40"/>
        <v>3425805.628</v>
      </c>
      <c r="BI99" s="31">
        <f t="shared" si="52"/>
        <v>181383</v>
      </c>
      <c r="BJ99" s="31">
        <f t="shared" si="41"/>
        <v>13648.628000000001</v>
      </c>
      <c r="BK99" s="31">
        <f t="shared" si="42"/>
        <v>34462.769999999997</v>
      </c>
      <c r="BL99" s="31">
        <f t="shared" si="43"/>
        <v>3641651.398</v>
      </c>
      <c r="BM99" s="36">
        <v>3023.05</v>
      </c>
      <c r="BN99" s="37">
        <f t="shared" si="44"/>
        <v>1133.23</v>
      </c>
      <c r="BO99" s="37">
        <f t="shared" si="45"/>
        <v>60</v>
      </c>
      <c r="BP99" s="37">
        <f t="shared" si="46"/>
        <v>11.4</v>
      </c>
      <c r="BQ99" s="37">
        <f t="shared" si="47"/>
        <v>1204.6300000000001</v>
      </c>
      <c r="BR99" s="38">
        <v>1204.6400000000001</v>
      </c>
      <c r="BS99" s="37">
        <f t="shared" si="53"/>
        <v>-9.9999999999909051E-3</v>
      </c>
      <c r="BT99" s="46"/>
      <c r="BW99" s="31">
        <f t="shared" si="54"/>
        <v>120922</v>
      </c>
      <c r="BX99" s="31">
        <f t="shared" si="55"/>
        <v>60461</v>
      </c>
    </row>
    <row r="100" spans="1:76" x14ac:dyDescent="0.3">
      <c r="A100" s="47" t="s">
        <v>457</v>
      </c>
      <c r="B100" s="16" t="s">
        <v>458</v>
      </c>
      <c r="C100" s="39" t="s">
        <v>459</v>
      </c>
      <c r="D100" s="29">
        <v>45915.208518518513</v>
      </c>
      <c r="E100" s="29"/>
      <c r="F100" s="16" t="s">
        <v>122</v>
      </c>
      <c r="G100" s="16" t="s">
        <v>123</v>
      </c>
      <c r="H100" s="16" t="s">
        <v>15</v>
      </c>
      <c r="I100" s="16" t="s">
        <v>148</v>
      </c>
      <c r="J100" s="30" t="s">
        <v>125</v>
      </c>
      <c r="K100" s="16" t="s">
        <v>126</v>
      </c>
      <c r="L100" s="16">
        <f t="shared" ref="L100:L131" si="56">IF(AL100&gt;0,31.94,14.44)</f>
        <v>31.94</v>
      </c>
      <c r="M100" s="31">
        <v>4500000</v>
      </c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E100" s="31"/>
      <c r="AF100" s="32">
        <f t="shared" ref="AF100:AF131" si="57">SUM(M100,O100,P100,Q100,R100,S100,T100,U100,V100,W100,X100,Y100,Z100,AA100,AB100,AC100,N100,AE100,AD100)</f>
        <v>4500000</v>
      </c>
      <c r="AI100" s="31">
        <v>540000</v>
      </c>
      <c r="AJ100" s="31"/>
      <c r="AK100" s="31">
        <v>23500</v>
      </c>
      <c r="AL100" s="31">
        <v>180000</v>
      </c>
      <c r="AM100" s="31"/>
      <c r="AN100" s="31"/>
      <c r="AO100" s="32">
        <f t="shared" ref="AO100:AO131" si="58">SUM(AL100,AJ100,AN100,AK100,AM100,AI100)</f>
        <v>743500</v>
      </c>
      <c r="AR100" s="31">
        <v>375000</v>
      </c>
      <c r="AS100" s="31">
        <v>375000</v>
      </c>
      <c r="AT100" s="31">
        <v>65029</v>
      </c>
      <c r="AU100" s="32">
        <f t="shared" ref="AU100:AU131" si="59">SUM(AR100,AS100,AT100)</f>
        <v>815029</v>
      </c>
      <c r="AV100" s="41">
        <f t="shared" si="48"/>
        <v>1618990</v>
      </c>
      <c r="AX100" s="31">
        <v>0</v>
      </c>
      <c r="AY100" s="31">
        <v>0</v>
      </c>
      <c r="AZ100" s="31">
        <v>0</v>
      </c>
      <c r="BA100" s="20">
        <v>0</v>
      </c>
      <c r="BB100" s="31">
        <v>0</v>
      </c>
      <c r="BC100" s="31">
        <f t="shared" si="49"/>
        <v>60461</v>
      </c>
      <c r="BD100" s="35">
        <f t="shared" ref="BD100:BD131" si="60">SUM(AX100,AY100,AZ100,BA100,BB100,BC100,AD100)</f>
        <v>60461</v>
      </c>
      <c r="BF100" s="42">
        <f t="shared" si="50"/>
        <v>11.399999999999999</v>
      </c>
      <c r="BG100" s="42">
        <f t="shared" si="51"/>
        <v>8.096445642645671</v>
      </c>
      <c r="BH100" s="31">
        <f t="shared" ref="BH100:BH131" si="61">SUM(AF100,AO100,AU100,BD100,BJ100)</f>
        <v>6143465.96</v>
      </c>
      <c r="BI100" s="31">
        <f t="shared" si="52"/>
        <v>181383</v>
      </c>
      <c r="BJ100" s="31">
        <f t="shared" ref="BJ100:BJ131" si="62">(AF100+AO100+AU100+BD100)*0.004</f>
        <v>24475.96</v>
      </c>
      <c r="BK100" s="31">
        <f t="shared" ref="BK100:BK131" si="63">BI100*0.19</f>
        <v>34462.769999999997</v>
      </c>
      <c r="BL100" s="31">
        <f t="shared" ref="BL100:BL131" si="64">SUM(BH100,BI100,BK100)</f>
        <v>6359311.7299999995</v>
      </c>
      <c r="BM100" s="36">
        <v>3023.05</v>
      </c>
      <c r="BN100" s="37">
        <f t="shared" ref="BN100:BN131" si="65">ROUND(BH100/BM100,2)</f>
        <v>2032.21</v>
      </c>
      <c r="BO100" s="37">
        <f t="shared" ref="BO100:BO131" si="66">ROUND(BI100/BM100,2)</f>
        <v>60</v>
      </c>
      <c r="BP100" s="37">
        <f t="shared" ref="BP100:BP131" si="67">ROUND(BK100/BM100,2)</f>
        <v>11.4</v>
      </c>
      <c r="BQ100" s="37">
        <f t="shared" ref="BQ100:BQ131" si="68">SUM(BN100,BO100,BP100)</f>
        <v>2103.61</v>
      </c>
      <c r="BR100" s="38">
        <v>2103.62</v>
      </c>
      <c r="BS100" s="37">
        <f t="shared" si="53"/>
        <v>-9.9999999997635314E-3</v>
      </c>
      <c r="BT100" s="46"/>
      <c r="BW100" s="31">
        <f t="shared" si="54"/>
        <v>120922</v>
      </c>
      <c r="BX100" s="31">
        <f t="shared" si="55"/>
        <v>60461</v>
      </c>
    </row>
    <row r="101" spans="1:76" x14ac:dyDescent="0.3">
      <c r="A101" s="47" t="s">
        <v>460</v>
      </c>
      <c r="B101" s="16" t="s">
        <v>461</v>
      </c>
      <c r="C101" s="27" t="s">
        <v>462</v>
      </c>
      <c r="D101" s="29">
        <v>45356.208518518513</v>
      </c>
      <c r="E101" s="29"/>
      <c r="F101" s="16" t="s">
        <v>122</v>
      </c>
      <c r="G101" s="16" t="s">
        <v>123</v>
      </c>
      <c r="H101" s="16" t="s">
        <v>45</v>
      </c>
      <c r="I101" s="16" t="s">
        <v>254</v>
      </c>
      <c r="J101" s="30" t="s">
        <v>125</v>
      </c>
      <c r="K101" s="16" t="s">
        <v>126</v>
      </c>
      <c r="L101" s="16">
        <f t="shared" si="56"/>
        <v>31.94</v>
      </c>
      <c r="M101" s="31">
        <v>7800000</v>
      </c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E101" s="31"/>
      <c r="AF101" s="32">
        <f t="shared" si="57"/>
        <v>7800000</v>
      </c>
      <c r="AI101" s="31">
        <v>936000</v>
      </c>
      <c r="AJ101" s="31"/>
      <c r="AK101" s="31">
        <v>190100</v>
      </c>
      <c r="AL101" s="31">
        <v>312000</v>
      </c>
      <c r="AM101" s="31"/>
      <c r="AN101" s="31"/>
      <c r="AO101" s="32">
        <f t="shared" si="58"/>
        <v>1438100</v>
      </c>
      <c r="AR101" s="31">
        <v>650000</v>
      </c>
      <c r="AS101" s="31">
        <v>650000</v>
      </c>
      <c r="AT101" s="31">
        <v>110500</v>
      </c>
      <c r="AU101" s="32">
        <f t="shared" si="59"/>
        <v>1410500</v>
      </c>
      <c r="AV101" s="41">
        <f t="shared" si="48"/>
        <v>2909061</v>
      </c>
      <c r="AX101" s="31">
        <v>0</v>
      </c>
      <c r="AY101" s="31">
        <v>0</v>
      </c>
      <c r="AZ101" s="31">
        <v>0</v>
      </c>
      <c r="BA101" s="20">
        <v>0</v>
      </c>
      <c r="BB101" s="31">
        <v>0</v>
      </c>
      <c r="BC101" s="31">
        <f t="shared" si="49"/>
        <v>60461</v>
      </c>
      <c r="BD101" s="35">
        <f t="shared" si="60"/>
        <v>60461</v>
      </c>
      <c r="BF101" s="28">
        <f t="shared" si="50"/>
        <v>11.399999999999999</v>
      </c>
      <c r="BG101" s="28">
        <f t="shared" si="51"/>
        <v>14.169876118489604</v>
      </c>
      <c r="BH101" s="31">
        <f t="shared" si="61"/>
        <v>10751897.244000001</v>
      </c>
      <c r="BI101" s="31">
        <f t="shared" si="52"/>
        <v>181383</v>
      </c>
      <c r="BJ101" s="40">
        <f t="shared" si="62"/>
        <v>42836.243999999999</v>
      </c>
      <c r="BK101" s="40">
        <f t="shared" si="63"/>
        <v>34462.769999999997</v>
      </c>
      <c r="BL101" s="31">
        <f t="shared" si="64"/>
        <v>10967743.014</v>
      </c>
      <c r="BM101" s="36">
        <v>3023.05</v>
      </c>
      <c r="BN101" s="37">
        <f t="shared" si="65"/>
        <v>3556.64</v>
      </c>
      <c r="BO101" s="37">
        <f t="shared" si="66"/>
        <v>60</v>
      </c>
      <c r="BP101" s="37">
        <f t="shared" si="67"/>
        <v>11.4</v>
      </c>
      <c r="BQ101" s="37">
        <f t="shared" si="68"/>
        <v>3628.04</v>
      </c>
      <c r="BR101" s="38">
        <v>3628.05</v>
      </c>
      <c r="BS101" s="37">
        <f t="shared" si="53"/>
        <v>-1.0000000000218279E-2</v>
      </c>
      <c r="BT101" s="46"/>
      <c r="BW101" s="31">
        <f t="shared" si="54"/>
        <v>120922</v>
      </c>
      <c r="BX101" s="31">
        <f t="shared" si="55"/>
        <v>60461</v>
      </c>
    </row>
    <row r="102" spans="1:76" x14ac:dyDescent="0.3">
      <c r="A102" s="47" t="s">
        <v>463</v>
      </c>
      <c r="B102" s="16" t="s">
        <v>464</v>
      </c>
      <c r="C102" s="39" t="s">
        <v>465</v>
      </c>
      <c r="D102" s="29">
        <v>45748.208518518513</v>
      </c>
      <c r="E102" s="29"/>
      <c r="F102" s="16" t="s">
        <v>122</v>
      </c>
      <c r="G102" s="16" t="s">
        <v>123</v>
      </c>
      <c r="H102" s="16" t="s">
        <v>47</v>
      </c>
      <c r="I102" s="16" t="s">
        <v>268</v>
      </c>
      <c r="J102" s="30" t="s">
        <v>125</v>
      </c>
      <c r="K102" s="16" t="s">
        <v>126</v>
      </c>
      <c r="L102" s="16">
        <f t="shared" si="56"/>
        <v>31.94</v>
      </c>
      <c r="M102" s="31">
        <v>8285297</v>
      </c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E102" s="31"/>
      <c r="AF102" s="32">
        <f t="shared" si="57"/>
        <v>8285297</v>
      </c>
      <c r="AI102" s="31">
        <v>994389</v>
      </c>
      <c r="AJ102" s="31"/>
      <c r="AK102" s="31">
        <v>161500</v>
      </c>
      <c r="AL102" s="31">
        <v>331600</v>
      </c>
      <c r="AM102" s="31"/>
      <c r="AN102" s="31"/>
      <c r="AO102" s="32">
        <f t="shared" si="58"/>
        <v>1487489</v>
      </c>
      <c r="AR102" s="31">
        <v>690441</v>
      </c>
      <c r="AS102" s="31">
        <v>690441</v>
      </c>
      <c r="AT102" s="31">
        <v>117375</v>
      </c>
      <c r="AU102" s="32">
        <f t="shared" si="59"/>
        <v>1498257</v>
      </c>
      <c r="AV102" s="34">
        <f t="shared" si="48"/>
        <v>3046207</v>
      </c>
      <c r="AX102" s="31">
        <v>0</v>
      </c>
      <c r="AY102" s="31">
        <v>454263</v>
      </c>
      <c r="AZ102" s="31">
        <v>0</v>
      </c>
      <c r="BA102" s="20">
        <v>0</v>
      </c>
      <c r="BB102" s="31">
        <v>0</v>
      </c>
      <c r="BC102" s="31">
        <f t="shared" si="49"/>
        <v>60461</v>
      </c>
      <c r="BD102" s="35">
        <f t="shared" si="60"/>
        <v>514724</v>
      </c>
      <c r="BF102" s="42">
        <f t="shared" si="50"/>
        <v>11.399999999999999</v>
      </c>
      <c r="BG102" s="42">
        <f t="shared" si="51"/>
        <v>15.594537966623111</v>
      </c>
      <c r="BH102" s="31">
        <f t="shared" si="61"/>
        <v>11832910.068</v>
      </c>
      <c r="BI102" s="31">
        <f t="shared" si="52"/>
        <v>181383</v>
      </c>
      <c r="BJ102" s="31">
        <f t="shared" si="62"/>
        <v>47143.067999999999</v>
      </c>
      <c r="BK102" s="31">
        <f t="shared" si="63"/>
        <v>34462.769999999997</v>
      </c>
      <c r="BL102" s="31">
        <f t="shared" si="64"/>
        <v>12048755.838</v>
      </c>
      <c r="BM102" s="36">
        <v>3023.05</v>
      </c>
      <c r="BN102" s="37">
        <f t="shared" si="65"/>
        <v>3914.23</v>
      </c>
      <c r="BO102" s="37">
        <f t="shared" si="66"/>
        <v>60</v>
      </c>
      <c r="BP102" s="37">
        <f t="shared" si="67"/>
        <v>11.4</v>
      </c>
      <c r="BQ102" s="37">
        <f t="shared" si="68"/>
        <v>3985.63</v>
      </c>
      <c r="BR102" s="38">
        <v>3986.04</v>
      </c>
      <c r="BS102" s="37">
        <f t="shared" si="53"/>
        <v>-0.40999999999985448</v>
      </c>
      <c r="BT102" s="46"/>
      <c r="BW102" s="31">
        <f t="shared" si="54"/>
        <v>120922</v>
      </c>
      <c r="BX102" s="31">
        <f t="shared" si="55"/>
        <v>60461</v>
      </c>
    </row>
    <row r="103" spans="1:76" x14ac:dyDescent="0.3">
      <c r="A103" s="47" t="s">
        <v>466</v>
      </c>
      <c r="B103" s="16" t="s">
        <v>467</v>
      </c>
      <c r="C103" s="39" t="s">
        <v>468</v>
      </c>
      <c r="D103" s="29">
        <v>46086.208518518513</v>
      </c>
      <c r="E103" s="29">
        <v>46450.208518518513</v>
      </c>
      <c r="F103" s="16" t="s">
        <v>122</v>
      </c>
      <c r="G103" s="16" t="s">
        <v>123</v>
      </c>
      <c r="H103" s="16" t="s">
        <v>32</v>
      </c>
      <c r="I103" s="16" t="s">
        <v>156</v>
      </c>
      <c r="J103" s="30" t="s">
        <v>125</v>
      </c>
      <c r="K103" s="16" t="s">
        <v>126</v>
      </c>
      <c r="L103" s="16">
        <f t="shared" si="56"/>
        <v>31.94</v>
      </c>
      <c r="M103" s="31">
        <v>7800000</v>
      </c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E103" s="31"/>
      <c r="AF103" s="32">
        <f t="shared" si="57"/>
        <v>7800000</v>
      </c>
      <c r="AI103" s="31">
        <v>936000</v>
      </c>
      <c r="AJ103" s="31"/>
      <c r="AK103" s="31">
        <v>40800</v>
      </c>
      <c r="AL103" s="31">
        <v>312000</v>
      </c>
      <c r="AM103" s="31"/>
      <c r="AN103" s="31"/>
      <c r="AO103" s="32">
        <f t="shared" si="58"/>
        <v>1288800</v>
      </c>
      <c r="AR103" s="31">
        <v>650000</v>
      </c>
      <c r="AS103" s="31">
        <v>650000</v>
      </c>
      <c r="AT103" s="31">
        <v>82766</v>
      </c>
      <c r="AU103" s="32">
        <f t="shared" si="59"/>
        <v>1382766</v>
      </c>
      <c r="AV103" s="41">
        <f t="shared" si="48"/>
        <v>2732027</v>
      </c>
      <c r="AX103" s="31">
        <v>0</v>
      </c>
      <c r="AY103" s="31">
        <v>0</v>
      </c>
      <c r="AZ103" s="31">
        <v>0</v>
      </c>
      <c r="BA103" s="20">
        <v>0</v>
      </c>
      <c r="BB103" s="31">
        <v>0</v>
      </c>
      <c r="BC103" s="31">
        <f t="shared" si="49"/>
        <v>60461</v>
      </c>
      <c r="BD103" s="35">
        <f t="shared" si="60"/>
        <v>60461</v>
      </c>
      <c r="BF103" s="42">
        <f t="shared" si="50"/>
        <v>11.399999999999999</v>
      </c>
      <c r="BG103" s="42">
        <f t="shared" si="51"/>
        <v>13.935630571773538</v>
      </c>
      <c r="BH103" s="31">
        <f t="shared" si="61"/>
        <v>10574155.107999999</v>
      </c>
      <c r="BI103" s="31">
        <f t="shared" si="52"/>
        <v>181383</v>
      </c>
      <c r="BJ103" s="31">
        <f t="shared" si="62"/>
        <v>42128.108</v>
      </c>
      <c r="BK103" s="31">
        <f t="shared" si="63"/>
        <v>34462.769999999997</v>
      </c>
      <c r="BL103" s="31">
        <f t="shared" si="64"/>
        <v>10790000.877999999</v>
      </c>
      <c r="BM103" s="36">
        <v>3023.05</v>
      </c>
      <c r="BN103" s="37">
        <f t="shared" si="65"/>
        <v>3497.84</v>
      </c>
      <c r="BO103" s="37">
        <f t="shared" si="66"/>
        <v>60</v>
      </c>
      <c r="BP103" s="37">
        <f t="shared" si="67"/>
        <v>11.4</v>
      </c>
      <c r="BQ103" s="37">
        <f t="shared" si="68"/>
        <v>3569.2400000000002</v>
      </c>
      <c r="BR103" s="38">
        <v>3569.26</v>
      </c>
      <c r="BS103" s="37">
        <f t="shared" si="53"/>
        <v>-1.999999999998181E-2</v>
      </c>
      <c r="BT103" s="46"/>
      <c r="BW103" s="31">
        <f t="shared" si="54"/>
        <v>120922</v>
      </c>
      <c r="BX103" s="31">
        <f t="shared" si="55"/>
        <v>60461</v>
      </c>
    </row>
    <row r="104" spans="1:76" x14ac:dyDescent="0.3">
      <c r="A104" s="47" t="s">
        <v>469</v>
      </c>
      <c r="B104" s="16" t="s">
        <v>470</v>
      </c>
      <c r="C104" s="27" t="s">
        <v>471</v>
      </c>
      <c r="D104" s="29">
        <v>45775.208518518513</v>
      </c>
      <c r="E104" s="29"/>
      <c r="F104" s="16" t="s">
        <v>122</v>
      </c>
      <c r="G104" s="16" t="s">
        <v>123</v>
      </c>
      <c r="H104" s="16" t="s">
        <v>29</v>
      </c>
      <c r="I104" s="16" t="s">
        <v>124</v>
      </c>
      <c r="J104" s="30" t="s">
        <v>125</v>
      </c>
      <c r="K104" s="16" t="s">
        <v>126</v>
      </c>
      <c r="L104" s="16">
        <f t="shared" si="56"/>
        <v>31.94</v>
      </c>
      <c r="M104" s="40">
        <v>11769860</v>
      </c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E104" s="31"/>
      <c r="AF104" s="32">
        <f t="shared" si="57"/>
        <v>11769860</v>
      </c>
      <c r="AI104" s="31">
        <v>1412406</v>
      </c>
      <c r="AJ104" s="31"/>
      <c r="AK104" s="31">
        <v>286800</v>
      </c>
      <c r="AL104" s="31">
        <v>470800</v>
      </c>
      <c r="AM104" s="31"/>
      <c r="AN104" s="31"/>
      <c r="AO104" s="32">
        <f t="shared" si="58"/>
        <v>2170006</v>
      </c>
      <c r="AR104" s="31">
        <v>980821</v>
      </c>
      <c r="AS104" s="31">
        <v>980822</v>
      </c>
      <c r="AT104" s="31">
        <v>169506</v>
      </c>
      <c r="AU104" s="32">
        <f t="shared" si="59"/>
        <v>2131149</v>
      </c>
      <c r="AV104" s="41">
        <f t="shared" si="48"/>
        <v>4361616</v>
      </c>
      <c r="AX104" s="31">
        <v>1083979</v>
      </c>
      <c r="AY104" s="31">
        <v>0</v>
      </c>
      <c r="AZ104" s="31">
        <v>0</v>
      </c>
      <c r="BA104" s="20">
        <v>0</v>
      </c>
      <c r="BB104" s="31">
        <v>0</v>
      </c>
      <c r="BC104" s="31">
        <f t="shared" si="49"/>
        <v>60461</v>
      </c>
      <c r="BD104" s="35">
        <f t="shared" si="60"/>
        <v>1144440</v>
      </c>
      <c r="BF104" s="28">
        <f t="shared" si="50"/>
        <v>11.399999999999999</v>
      </c>
      <c r="BG104" s="28">
        <f t="shared" si="51"/>
        <v>22.778921949686577</v>
      </c>
      <c r="BH104" s="31">
        <f t="shared" si="61"/>
        <v>17284316.82</v>
      </c>
      <c r="BI104" s="31">
        <f t="shared" si="52"/>
        <v>181383</v>
      </c>
      <c r="BJ104" s="40">
        <f t="shared" si="62"/>
        <v>68861.820000000007</v>
      </c>
      <c r="BK104" s="40">
        <f t="shared" si="63"/>
        <v>34462.769999999997</v>
      </c>
      <c r="BL104" s="31">
        <f t="shared" si="64"/>
        <v>17500162.59</v>
      </c>
      <c r="BM104" s="36">
        <v>3023.05</v>
      </c>
      <c r="BN104" s="37">
        <f t="shared" si="65"/>
        <v>5717.51</v>
      </c>
      <c r="BO104" s="37">
        <f t="shared" si="66"/>
        <v>60</v>
      </c>
      <c r="BP104" s="37">
        <f t="shared" si="67"/>
        <v>11.4</v>
      </c>
      <c r="BQ104" s="37">
        <f t="shared" si="68"/>
        <v>5788.91</v>
      </c>
      <c r="BR104" s="38">
        <v>6039.14</v>
      </c>
      <c r="BS104" s="37">
        <f t="shared" si="53"/>
        <v>-250.23000000000047</v>
      </c>
      <c r="BT104" s="46" t="s">
        <v>472</v>
      </c>
      <c r="BW104" s="31">
        <f t="shared" si="54"/>
        <v>120922</v>
      </c>
      <c r="BX104" s="31">
        <f t="shared" si="55"/>
        <v>60461</v>
      </c>
    </row>
    <row r="105" spans="1:76" x14ac:dyDescent="0.3">
      <c r="A105" s="47" t="s">
        <v>473</v>
      </c>
      <c r="B105" s="16" t="s">
        <v>474</v>
      </c>
      <c r="C105" s="27" t="s">
        <v>475</v>
      </c>
      <c r="D105" s="29">
        <v>46217.208518518513</v>
      </c>
      <c r="E105" s="29"/>
      <c r="F105" s="16" t="s">
        <v>122</v>
      </c>
      <c r="G105" s="16" t="s">
        <v>123</v>
      </c>
      <c r="H105" s="16" t="s">
        <v>46</v>
      </c>
      <c r="I105" s="16" t="s">
        <v>309</v>
      </c>
      <c r="J105" s="30" t="s">
        <v>125</v>
      </c>
      <c r="K105" s="16" t="s">
        <v>126</v>
      </c>
      <c r="L105" s="16">
        <f t="shared" si="56"/>
        <v>31.94</v>
      </c>
      <c r="M105" s="31">
        <v>3200000</v>
      </c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40">
        <v>249095</v>
      </c>
      <c r="AA105" s="31"/>
      <c r="AB105" s="31"/>
      <c r="AC105" s="31"/>
      <c r="AE105" s="31"/>
      <c r="AF105" s="32">
        <f t="shared" si="57"/>
        <v>3449095</v>
      </c>
      <c r="AI105" s="31">
        <v>384000</v>
      </c>
      <c r="AJ105" s="31"/>
      <c r="AK105" s="31">
        <v>16800</v>
      </c>
      <c r="AL105" s="31">
        <v>128000</v>
      </c>
      <c r="AM105" s="31"/>
      <c r="AN105" s="31"/>
      <c r="AO105" s="32">
        <f t="shared" si="58"/>
        <v>528800</v>
      </c>
      <c r="AR105" s="31">
        <v>287424</v>
      </c>
      <c r="AS105" s="31">
        <v>287424</v>
      </c>
      <c r="AT105" s="31">
        <v>11880</v>
      </c>
      <c r="AU105" s="32">
        <f t="shared" si="59"/>
        <v>586728</v>
      </c>
      <c r="AV105" s="41">
        <f t="shared" si="48"/>
        <v>1175989</v>
      </c>
      <c r="AX105" s="31">
        <v>0</v>
      </c>
      <c r="AY105" s="31">
        <v>0</v>
      </c>
      <c r="AZ105" s="31">
        <v>0</v>
      </c>
      <c r="BA105" s="20">
        <v>0</v>
      </c>
      <c r="BB105" s="31">
        <v>0</v>
      </c>
      <c r="BC105" s="31">
        <f t="shared" si="49"/>
        <v>60461</v>
      </c>
      <c r="BD105" s="35">
        <f t="shared" si="60"/>
        <v>60461</v>
      </c>
      <c r="BF105" s="28">
        <f t="shared" si="50"/>
        <v>11.399999999999999</v>
      </c>
      <c r="BG105" s="28">
        <f t="shared" si="51"/>
        <v>6.11975852202246</v>
      </c>
      <c r="BH105" s="31">
        <f t="shared" si="61"/>
        <v>4643584.3360000001</v>
      </c>
      <c r="BI105" s="31">
        <f t="shared" si="52"/>
        <v>181383</v>
      </c>
      <c r="BJ105" s="40">
        <f t="shared" si="62"/>
        <v>18500.335999999999</v>
      </c>
      <c r="BK105" s="40">
        <f t="shared" si="63"/>
        <v>34462.769999999997</v>
      </c>
      <c r="BL105" s="31">
        <f t="shared" si="64"/>
        <v>4859430.1059999997</v>
      </c>
      <c r="BM105" s="36">
        <v>3023.05</v>
      </c>
      <c r="BN105" s="37">
        <f t="shared" si="65"/>
        <v>1536.06</v>
      </c>
      <c r="BO105" s="37">
        <f t="shared" si="66"/>
        <v>60</v>
      </c>
      <c r="BP105" s="37">
        <f t="shared" si="67"/>
        <v>11.4</v>
      </c>
      <c r="BQ105" s="37">
        <f t="shared" si="68"/>
        <v>1607.46</v>
      </c>
      <c r="BR105" s="38">
        <v>1607.47</v>
      </c>
      <c r="BS105" s="37">
        <f t="shared" si="53"/>
        <v>-9.9999999999909051E-3</v>
      </c>
      <c r="BT105" s="46"/>
      <c r="BW105" s="31">
        <f t="shared" si="54"/>
        <v>120922</v>
      </c>
      <c r="BX105" s="31">
        <f t="shared" si="55"/>
        <v>60461</v>
      </c>
    </row>
    <row r="106" spans="1:76" x14ac:dyDescent="0.3">
      <c r="A106" s="47" t="s">
        <v>476</v>
      </c>
      <c r="B106" s="16" t="s">
        <v>477</v>
      </c>
      <c r="C106" s="27" t="s">
        <v>478</v>
      </c>
      <c r="D106" s="29">
        <v>46195.208518518513</v>
      </c>
      <c r="E106" s="29"/>
      <c r="F106" s="16" t="s">
        <v>122</v>
      </c>
      <c r="G106" s="16" t="s">
        <v>123</v>
      </c>
      <c r="H106" s="16" t="s">
        <v>44</v>
      </c>
      <c r="I106" s="16" t="s">
        <v>135</v>
      </c>
      <c r="J106" s="30" t="s">
        <v>125</v>
      </c>
      <c r="K106" s="16" t="s">
        <v>126</v>
      </c>
      <c r="L106" s="16">
        <f t="shared" si="56"/>
        <v>31.94</v>
      </c>
      <c r="M106" s="31">
        <v>5000000</v>
      </c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E106" s="31"/>
      <c r="AF106" s="32">
        <f t="shared" si="57"/>
        <v>5000000</v>
      </c>
      <c r="AI106" s="31">
        <v>600000</v>
      </c>
      <c r="AJ106" s="31"/>
      <c r="AK106" s="31">
        <v>26100</v>
      </c>
      <c r="AL106" s="31">
        <v>200000</v>
      </c>
      <c r="AM106" s="31"/>
      <c r="AN106" s="31"/>
      <c r="AO106" s="32">
        <f t="shared" si="58"/>
        <v>826100</v>
      </c>
      <c r="AR106" s="31">
        <v>416667</v>
      </c>
      <c r="AS106" s="31">
        <v>416667</v>
      </c>
      <c r="AT106" s="31">
        <v>23333</v>
      </c>
      <c r="AU106" s="32">
        <f t="shared" si="59"/>
        <v>856667</v>
      </c>
      <c r="AV106" s="41">
        <f t="shared" si="48"/>
        <v>1743228</v>
      </c>
      <c r="AX106" s="31">
        <v>0</v>
      </c>
      <c r="AY106" s="31">
        <v>0</v>
      </c>
      <c r="AZ106" s="31">
        <v>0</v>
      </c>
      <c r="BA106" s="20">
        <v>0</v>
      </c>
      <c r="BB106" s="31">
        <v>0</v>
      </c>
      <c r="BC106" s="31">
        <f t="shared" si="49"/>
        <v>60461</v>
      </c>
      <c r="BD106" s="35">
        <f t="shared" si="60"/>
        <v>60461</v>
      </c>
      <c r="BF106" s="28">
        <f t="shared" si="50"/>
        <v>11.399999999999999</v>
      </c>
      <c r="BG106" s="28">
        <f t="shared" si="51"/>
        <v>8.9224167645258916</v>
      </c>
      <c r="BH106" s="31">
        <f t="shared" si="61"/>
        <v>6770200.9119999995</v>
      </c>
      <c r="BI106" s="31">
        <f t="shared" si="52"/>
        <v>181383</v>
      </c>
      <c r="BJ106" s="40">
        <f t="shared" si="62"/>
        <v>26972.912</v>
      </c>
      <c r="BK106" s="40">
        <f t="shared" si="63"/>
        <v>34462.769999999997</v>
      </c>
      <c r="BL106" s="31">
        <f t="shared" si="64"/>
        <v>6986046.6819999991</v>
      </c>
      <c r="BM106" s="36">
        <v>3023.05</v>
      </c>
      <c r="BN106" s="37">
        <f t="shared" si="65"/>
        <v>2239.5300000000002</v>
      </c>
      <c r="BO106" s="37">
        <f t="shared" si="66"/>
        <v>60</v>
      </c>
      <c r="BP106" s="37">
        <f t="shared" si="67"/>
        <v>11.4</v>
      </c>
      <c r="BQ106" s="37">
        <f t="shared" si="68"/>
        <v>2310.9300000000003</v>
      </c>
      <c r="BR106" s="38">
        <v>2310.9299999999998</v>
      </c>
      <c r="BS106" s="37">
        <f t="shared" si="53"/>
        <v>0</v>
      </c>
      <c r="BT106" s="46"/>
      <c r="BW106" s="31">
        <f t="shared" si="54"/>
        <v>120922</v>
      </c>
      <c r="BX106" s="31">
        <f t="shared" si="55"/>
        <v>60461</v>
      </c>
    </row>
    <row r="107" spans="1:76" x14ac:dyDescent="0.3">
      <c r="A107" s="47" t="s">
        <v>479</v>
      </c>
      <c r="B107" s="16" t="s">
        <v>480</v>
      </c>
      <c r="C107" s="39" t="s">
        <v>481</v>
      </c>
      <c r="D107" s="29">
        <v>45748.208518518513</v>
      </c>
      <c r="E107" s="29"/>
      <c r="F107" s="16" t="s">
        <v>122</v>
      </c>
      <c r="G107" s="16" t="s">
        <v>123</v>
      </c>
      <c r="H107" s="16" t="s">
        <v>47</v>
      </c>
      <c r="I107" s="16" t="s">
        <v>268</v>
      </c>
      <c r="J107" s="30" t="s">
        <v>125</v>
      </c>
      <c r="K107" s="16" t="s">
        <v>126</v>
      </c>
      <c r="L107" s="16">
        <f t="shared" si="56"/>
        <v>31.94</v>
      </c>
      <c r="M107" s="31">
        <v>4965125</v>
      </c>
      <c r="N107" s="31"/>
      <c r="O107" s="31"/>
      <c r="P107" s="31"/>
      <c r="Q107" s="31"/>
      <c r="R107" s="31"/>
      <c r="S107" s="31"/>
      <c r="T107" s="31"/>
      <c r="U107" s="31"/>
      <c r="V107" s="40">
        <v>926388</v>
      </c>
      <c r="W107" s="31"/>
      <c r="X107" s="31"/>
      <c r="Y107" s="31"/>
      <c r="Z107" s="31"/>
      <c r="AA107" s="31"/>
      <c r="AB107" s="31"/>
      <c r="AC107" s="31"/>
      <c r="AE107" s="31"/>
      <c r="AF107" s="32">
        <f t="shared" si="57"/>
        <v>5891513</v>
      </c>
      <c r="AI107" s="31">
        <v>595895</v>
      </c>
      <c r="AJ107" s="31"/>
      <c r="AK107" s="31">
        <v>121000</v>
      </c>
      <c r="AL107" s="31">
        <v>198700</v>
      </c>
      <c r="AM107" s="31"/>
      <c r="AN107" s="31"/>
      <c r="AO107" s="32">
        <f t="shared" si="58"/>
        <v>915595</v>
      </c>
      <c r="AR107" s="31">
        <v>413760</v>
      </c>
      <c r="AS107" s="31">
        <v>413761</v>
      </c>
      <c r="AT107" s="31">
        <v>70339</v>
      </c>
      <c r="AU107" s="32">
        <f t="shared" si="59"/>
        <v>897860</v>
      </c>
      <c r="AV107" s="34">
        <f t="shared" si="48"/>
        <v>1873916</v>
      </c>
      <c r="AX107" s="31">
        <v>0</v>
      </c>
      <c r="AY107" s="31">
        <v>466233</v>
      </c>
      <c r="AZ107" s="31">
        <v>0</v>
      </c>
      <c r="BA107" s="20">
        <v>0</v>
      </c>
      <c r="BB107" s="31">
        <v>0</v>
      </c>
      <c r="BC107" s="31">
        <f t="shared" si="49"/>
        <v>60461</v>
      </c>
      <c r="BD107" s="35">
        <f t="shared" si="60"/>
        <v>526694</v>
      </c>
      <c r="BF107" s="42">
        <f t="shared" si="50"/>
        <v>11.399999999999999</v>
      </c>
      <c r="BG107" s="42">
        <f t="shared" si="51"/>
        <v>10.891863515323928</v>
      </c>
      <c r="BH107" s="31">
        <f t="shared" si="61"/>
        <v>8264588.648</v>
      </c>
      <c r="BI107" s="31">
        <f t="shared" si="52"/>
        <v>181383</v>
      </c>
      <c r="BJ107" s="31">
        <f t="shared" si="62"/>
        <v>32926.648000000001</v>
      </c>
      <c r="BK107" s="31">
        <f t="shared" si="63"/>
        <v>34462.769999999997</v>
      </c>
      <c r="BL107" s="31">
        <f t="shared" si="64"/>
        <v>8480434.4179999996</v>
      </c>
      <c r="BM107" s="36">
        <v>3023.05</v>
      </c>
      <c r="BN107" s="37">
        <f t="shared" si="65"/>
        <v>2733.86</v>
      </c>
      <c r="BO107" s="37">
        <f t="shared" si="66"/>
        <v>60</v>
      </c>
      <c r="BP107" s="37">
        <f t="shared" si="67"/>
        <v>11.4</v>
      </c>
      <c r="BQ107" s="37">
        <f t="shared" si="68"/>
        <v>2805.26</v>
      </c>
      <c r="BR107" s="38">
        <v>2805.28</v>
      </c>
      <c r="BS107" s="37">
        <f t="shared" si="53"/>
        <v>-1.999999999998181E-2</v>
      </c>
      <c r="BT107" s="46"/>
      <c r="BW107" s="31">
        <f t="shared" si="54"/>
        <v>120922</v>
      </c>
      <c r="BX107" s="31">
        <f t="shared" si="55"/>
        <v>60461</v>
      </c>
    </row>
    <row r="108" spans="1:76" x14ac:dyDescent="0.3">
      <c r="A108" s="47" t="s">
        <v>482</v>
      </c>
      <c r="B108" s="16" t="s">
        <v>483</v>
      </c>
      <c r="C108" s="27" t="s">
        <v>484</v>
      </c>
      <c r="D108" s="29">
        <v>45796.208518518513</v>
      </c>
      <c r="E108" s="29"/>
      <c r="F108" s="16" t="s">
        <v>122</v>
      </c>
      <c r="G108" s="16" t="s">
        <v>123</v>
      </c>
      <c r="H108" s="16" t="s">
        <v>46</v>
      </c>
      <c r="I108" s="16" t="s">
        <v>309</v>
      </c>
      <c r="J108" s="30" t="s">
        <v>125</v>
      </c>
      <c r="K108" s="16" t="s">
        <v>126</v>
      </c>
      <c r="L108" s="16">
        <f t="shared" si="56"/>
        <v>31.94</v>
      </c>
      <c r="M108" s="31">
        <v>3500000</v>
      </c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>
        <v>249095</v>
      </c>
      <c r="AA108" s="31"/>
      <c r="AB108" s="31"/>
      <c r="AC108" s="31"/>
      <c r="AE108" s="31"/>
      <c r="AF108" s="32">
        <f t="shared" si="57"/>
        <v>3749095</v>
      </c>
      <c r="AI108" s="31">
        <v>420000</v>
      </c>
      <c r="AJ108" s="31"/>
      <c r="AK108" s="31">
        <v>85300</v>
      </c>
      <c r="AL108" s="31">
        <v>140000</v>
      </c>
      <c r="AM108" s="31"/>
      <c r="AN108" s="31"/>
      <c r="AO108" s="32">
        <f t="shared" si="58"/>
        <v>645300</v>
      </c>
      <c r="AR108" s="31">
        <v>312425</v>
      </c>
      <c r="AS108" s="31">
        <v>312424</v>
      </c>
      <c r="AT108" s="31">
        <v>53740</v>
      </c>
      <c r="AU108" s="32">
        <f t="shared" si="59"/>
        <v>678589</v>
      </c>
      <c r="AV108" s="41">
        <f t="shared" si="48"/>
        <v>1384350</v>
      </c>
      <c r="AX108" s="31">
        <v>0</v>
      </c>
      <c r="AY108" s="31">
        <v>0</v>
      </c>
      <c r="AZ108" s="31">
        <v>0</v>
      </c>
      <c r="BA108" s="20">
        <v>0</v>
      </c>
      <c r="BB108" s="31">
        <v>0</v>
      </c>
      <c r="BC108" s="31">
        <f t="shared" si="49"/>
        <v>60461</v>
      </c>
      <c r="BD108" s="35">
        <f t="shared" si="60"/>
        <v>60461</v>
      </c>
      <c r="BF108" s="28">
        <f t="shared" si="50"/>
        <v>11.399999999999999</v>
      </c>
      <c r="BG108" s="28">
        <f t="shared" si="51"/>
        <v>6.792405021418765</v>
      </c>
      <c r="BH108" s="31">
        <f t="shared" si="61"/>
        <v>5153978.78</v>
      </c>
      <c r="BI108" s="31">
        <f t="shared" si="52"/>
        <v>181383</v>
      </c>
      <c r="BJ108" s="40">
        <f t="shared" si="62"/>
        <v>20533.78</v>
      </c>
      <c r="BK108" s="40">
        <f t="shared" si="63"/>
        <v>34462.769999999997</v>
      </c>
      <c r="BL108" s="31">
        <f t="shared" si="64"/>
        <v>5369824.5499999998</v>
      </c>
      <c r="BM108" s="36">
        <v>3023.05</v>
      </c>
      <c r="BN108" s="37">
        <f t="shared" si="65"/>
        <v>1704.89</v>
      </c>
      <c r="BO108" s="37">
        <f t="shared" si="66"/>
        <v>60</v>
      </c>
      <c r="BP108" s="37">
        <f t="shared" si="67"/>
        <v>11.4</v>
      </c>
      <c r="BQ108" s="37">
        <f t="shared" si="68"/>
        <v>1776.2900000000002</v>
      </c>
      <c r="BR108" s="38">
        <v>1776.31</v>
      </c>
      <c r="BS108" s="37">
        <f t="shared" si="53"/>
        <v>-1.9999999999754436E-2</v>
      </c>
      <c r="BT108" s="46"/>
      <c r="BW108" s="31">
        <f t="shared" si="54"/>
        <v>120922</v>
      </c>
      <c r="BX108" s="31">
        <f t="shared" si="55"/>
        <v>60461</v>
      </c>
    </row>
    <row r="109" spans="1:76" x14ac:dyDescent="0.3">
      <c r="A109" s="47" t="s">
        <v>485</v>
      </c>
      <c r="B109" s="16" t="s">
        <v>486</v>
      </c>
      <c r="C109" s="39" t="s">
        <v>487</v>
      </c>
      <c r="D109" s="29">
        <v>45986.208518518513</v>
      </c>
      <c r="E109" s="29"/>
      <c r="F109" s="16" t="s">
        <v>122</v>
      </c>
      <c r="G109" s="16" t="s">
        <v>123</v>
      </c>
      <c r="H109" s="16" t="s">
        <v>15</v>
      </c>
      <c r="I109" s="16" t="s">
        <v>148</v>
      </c>
      <c r="J109" s="30" t="s">
        <v>125</v>
      </c>
      <c r="K109" s="16" t="s">
        <v>126</v>
      </c>
      <c r="L109" s="16">
        <f t="shared" si="56"/>
        <v>31.94</v>
      </c>
      <c r="M109" s="31">
        <v>4500000</v>
      </c>
      <c r="N109" s="31"/>
      <c r="O109" s="31"/>
      <c r="P109" s="31"/>
      <c r="Q109" s="31"/>
      <c r="R109" s="40">
        <v>651429</v>
      </c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E109" s="31"/>
      <c r="AF109" s="32">
        <f t="shared" si="57"/>
        <v>5151429</v>
      </c>
      <c r="AI109" s="31">
        <v>618243</v>
      </c>
      <c r="AJ109" s="31"/>
      <c r="AK109" s="31">
        <v>26900</v>
      </c>
      <c r="AL109" s="31">
        <v>206100</v>
      </c>
      <c r="AM109" s="31"/>
      <c r="AN109" s="31"/>
      <c r="AO109" s="32">
        <f t="shared" si="58"/>
        <v>851243</v>
      </c>
      <c r="AR109" s="31">
        <v>429286</v>
      </c>
      <c r="AS109" s="31">
        <v>429285</v>
      </c>
      <c r="AT109" s="31">
        <v>71387</v>
      </c>
      <c r="AU109" s="32">
        <f t="shared" si="59"/>
        <v>929958</v>
      </c>
      <c r="AV109" s="41">
        <f t="shared" si="48"/>
        <v>1841662</v>
      </c>
      <c r="AX109" s="31">
        <v>0</v>
      </c>
      <c r="AY109" s="31">
        <v>0</v>
      </c>
      <c r="AZ109" s="31">
        <v>0</v>
      </c>
      <c r="BA109" s="20">
        <v>0</v>
      </c>
      <c r="BB109" s="31">
        <v>0</v>
      </c>
      <c r="BC109" s="31">
        <f t="shared" si="49"/>
        <v>60461</v>
      </c>
      <c r="BD109" s="35">
        <f t="shared" si="60"/>
        <v>60461</v>
      </c>
      <c r="BF109" s="42">
        <f t="shared" si="50"/>
        <v>11.399999999999999</v>
      </c>
      <c r="BG109" s="42">
        <f t="shared" si="51"/>
        <v>9.2530272407006162</v>
      </c>
      <c r="BH109" s="31">
        <f t="shared" si="61"/>
        <v>7021063.3640000001</v>
      </c>
      <c r="BI109" s="31">
        <f t="shared" si="52"/>
        <v>181383</v>
      </c>
      <c r="BJ109" s="31">
        <f t="shared" si="62"/>
        <v>27972.364000000001</v>
      </c>
      <c r="BK109" s="31">
        <f t="shared" si="63"/>
        <v>34462.769999999997</v>
      </c>
      <c r="BL109" s="31">
        <f t="shared" si="64"/>
        <v>7236909.1339999996</v>
      </c>
      <c r="BM109" s="36">
        <v>3023.05</v>
      </c>
      <c r="BN109" s="37">
        <f t="shared" si="65"/>
        <v>2322.5100000000002</v>
      </c>
      <c r="BO109" s="37">
        <f t="shared" si="66"/>
        <v>60</v>
      </c>
      <c r="BP109" s="37">
        <f t="shared" si="67"/>
        <v>11.4</v>
      </c>
      <c r="BQ109" s="37">
        <f t="shared" si="68"/>
        <v>2393.9100000000003</v>
      </c>
      <c r="BR109" s="38">
        <v>2393.922</v>
      </c>
      <c r="BS109" s="37">
        <f t="shared" si="53"/>
        <v>-1.1999999999716238E-2</v>
      </c>
      <c r="BT109" s="46"/>
      <c r="BW109" s="31">
        <f t="shared" si="54"/>
        <v>120922</v>
      </c>
      <c r="BX109" s="31">
        <f t="shared" si="55"/>
        <v>60461</v>
      </c>
    </row>
    <row r="110" spans="1:76" x14ac:dyDescent="0.3">
      <c r="A110" s="47" t="s">
        <v>488</v>
      </c>
      <c r="B110" s="16" t="s">
        <v>489</v>
      </c>
      <c r="C110" s="39" t="s">
        <v>490</v>
      </c>
      <c r="D110" s="29">
        <v>45526.208518518513</v>
      </c>
      <c r="E110" s="29"/>
      <c r="F110" s="16" t="s">
        <v>122</v>
      </c>
      <c r="G110" s="16" t="s">
        <v>123</v>
      </c>
      <c r="H110" s="16" t="s">
        <v>32</v>
      </c>
      <c r="I110" s="16" t="s">
        <v>156</v>
      </c>
      <c r="J110" s="30" t="s">
        <v>125</v>
      </c>
      <c r="K110" s="16" t="s">
        <v>126</v>
      </c>
      <c r="L110" s="16">
        <f t="shared" si="56"/>
        <v>31.94</v>
      </c>
      <c r="M110" s="31">
        <v>6000000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E110" s="31"/>
      <c r="AF110" s="32">
        <f t="shared" si="57"/>
        <v>6000000</v>
      </c>
      <c r="AI110" s="31">
        <v>720000</v>
      </c>
      <c r="AJ110" s="31"/>
      <c r="AK110" s="31">
        <v>31400</v>
      </c>
      <c r="AL110" s="31">
        <v>240000</v>
      </c>
      <c r="AM110" s="31"/>
      <c r="AN110" s="31"/>
      <c r="AO110" s="32">
        <f t="shared" si="58"/>
        <v>991400</v>
      </c>
      <c r="AR110" s="31">
        <v>500000</v>
      </c>
      <c r="AS110" s="31">
        <v>500000</v>
      </c>
      <c r="AT110" s="31">
        <v>79046</v>
      </c>
      <c r="AU110" s="32">
        <f t="shared" si="59"/>
        <v>1079046</v>
      </c>
      <c r="AV110" s="41">
        <f t="shared" si="48"/>
        <v>2130907</v>
      </c>
      <c r="AX110" s="31">
        <v>682590</v>
      </c>
      <c r="AY110" s="31">
        <v>0</v>
      </c>
      <c r="AZ110" s="31">
        <v>0</v>
      </c>
      <c r="BA110" s="20">
        <v>0</v>
      </c>
      <c r="BB110" s="31">
        <v>0</v>
      </c>
      <c r="BC110" s="31">
        <f t="shared" si="49"/>
        <v>60461</v>
      </c>
      <c r="BD110" s="35">
        <f t="shared" si="60"/>
        <v>743051</v>
      </c>
      <c r="BF110" s="42">
        <f t="shared" si="50"/>
        <v>11.399999999999999</v>
      </c>
      <c r="BG110" s="42">
        <f t="shared" si="51"/>
        <v>11.66172838689403</v>
      </c>
      <c r="BH110" s="31">
        <f t="shared" si="61"/>
        <v>8848750.9879999999</v>
      </c>
      <c r="BI110" s="31">
        <f t="shared" si="52"/>
        <v>181383</v>
      </c>
      <c r="BJ110" s="31">
        <f t="shared" si="62"/>
        <v>35253.987999999998</v>
      </c>
      <c r="BK110" s="31">
        <f t="shared" si="63"/>
        <v>34462.769999999997</v>
      </c>
      <c r="BL110" s="31">
        <f t="shared" si="64"/>
        <v>9064596.7579999994</v>
      </c>
      <c r="BM110" s="36">
        <v>3023.05</v>
      </c>
      <c r="BN110" s="37">
        <f t="shared" si="65"/>
        <v>2927.09</v>
      </c>
      <c r="BO110" s="37">
        <f t="shared" si="66"/>
        <v>60</v>
      </c>
      <c r="BP110" s="37">
        <f t="shared" si="67"/>
        <v>11.4</v>
      </c>
      <c r="BQ110" s="37">
        <f t="shared" si="68"/>
        <v>2998.4900000000002</v>
      </c>
      <c r="BR110" s="38">
        <v>2998.51</v>
      </c>
      <c r="BS110" s="37">
        <f t="shared" si="53"/>
        <v>-1.999999999998181E-2</v>
      </c>
      <c r="BT110" s="46"/>
      <c r="BW110" s="31">
        <f t="shared" si="54"/>
        <v>120922</v>
      </c>
      <c r="BX110" s="31">
        <f t="shared" si="55"/>
        <v>60461</v>
      </c>
    </row>
    <row r="111" spans="1:76" x14ac:dyDescent="0.3">
      <c r="A111" s="47" t="s">
        <v>491</v>
      </c>
      <c r="B111" s="16" t="s">
        <v>492</v>
      </c>
      <c r="C111" s="27" t="s">
        <v>493</v>
      </c>
      <c r="D111" s="29">
        <v>45904.208518518513</v>
      </c>
      <c r="E111" s="29"/>
      <c r="F111" s="16" t="s">
        <v>122</v>
      </c>
      <c r="G111" s="16" t="s">
        <v>123</v>
      </c>
      <c r="H111" s="16" t="s">
        <v>29</v>
      </c>
      <c r="I111" s="16" t="s">
        <v>124</v>
      </c>
      <c r="J111" s="30" t="s">
        <v>125</v>
      </c>
      <c r="K111" s="16" t="s">
        <v>126</v>
      </c>
      <c r="L111" s="16">
        <f t="shared" si="56"/>
        <v>31.94</v>
      </c>
      <c r="M111" s="31">
        <v>7277355</v>
      </c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E111" s="31"/>
      <c r="AF111" s="32">
        <f t="shared" si="57"/>
        <v>7277355</v>
      </c>
      <c r="AI111" s="31">
        <v>873306</v>
      </c>
      <c r="AJ111" s="31"/>
      <c r="AK111" s="31">
        <v>177300</v>
      </c>
      <c r="AL111" s="31">
        <v>291100</v>
      </c>
      <c r="AM111" s="31"/>
      <c r="AN111" s="31"/>
      <c r="AO111" s="32">
        <f t="shared" si="58"/>
        <v>1341706</v>
      </c>
      <c r="AR111" s="31">
        <v>606447</v>
      </c>
      <c r="AS111" s="31">
        <v>606446</v>
      </c>
      <c r="AT111" s="31">
        <v>115002</v>
      </c>
      <c r="AU111" s="32">
        <f t="shared" si="59"/>
        <v>1327895</v>
      </c>
      <c r="AV111" s="41">
        <f t="shared" si="48"/>
        <v>2730062</v>
      </c>
      <c r="AX111" s="31">
        <v>99000</v>
      </c>
      <c r="AY111" s="31">
        <v>0</v>
      </c>
      <c r="AZ111" s="31">
        <v>0</v>
      </c>
      <c r="BA111" s="20">
        <v>0</v>
      </c>
      <c r="BB111" s="31">
        <v>0</v>
      </c>
      <c r="BC111" s="31">
        <f t="shared" si="49"/>
        <v>60461</v>
      </c>
      <c r="BD111" s="35">
        <f t="shared" si="60"/>
        <v>159461</v>
      </c>
      <c r="BF111" s="28">
        <f t="shared" si="50"/>
        <v>11.399999999999999</v>
      </c>
      <c r="BG111" s="28">
        <f t="shared" si="51"/>
        <v>13.372477464812025</v>
      </c>
      <c r="BH111" s="31">
        <f t="shared" si="61"/>
        <v>10146842.668</v>
      </c>
      <c r="BI111" s="31">
        <f t="shared" si="52"/>
        <v>181383</v>
      </c>
      <c r="BJ111" s="40">
        <f t="shared" si="62"/>
        <v>40425.667999999998</v>
      </c>
      <c r="BK111" s="40">
        <f t="shared" si="63"/>
        <v>34462.769999999997</v>
      </c>
      <c r="BL111" s="31">
        <f t="shared" si="64"/>
        <v>10362688.437999999</v>
      </c>
      <c r="BM111" s="36">
        <v>3023.05</v>
      </c>
      <c r="BN111" s="37">
        <f t="shared" si="65"/>
        <v>3356.49</v>
      </c>
      <c r="BO111" s="37">
        <f t="shared" si="66"/>
        <v>60</v>
      </c>
      <c r="BP111" s="37">
        <f t="shared" si="67"/>
        <v>11.4</v>
      </c>
      <c r="BQ111" s="37">
        <f t="shared" si="68"/>
        <v>3427.89</v>
      </c>
      <c r="BR111" s="38">
        <v>3427.91</v>
      </c>
      <c r="BS111" s="37">
        <f t="shared" si="53"/>
        <v>-1.999999999998181E-2</v>
      </c>
      <c r="BT111" s="46"/>
      <c r="BW111" s="31">
        <f t="shared" si="54"/>
        <v>120922</v>
      </c>
      <c r="BX111" s="31">
        <f t="shared" si="55"/>
        <v>60461</v>
      </c>
    </row>
    <row r="112" spans="1:76" x14ac:dyDescent="0.3">
      <c r="A112" s="47" t="s">
        <v>494</v>
      </c>
      <c r="B112" s="16" t="s">
        <v>495</v>
      </c>
      <c r="C112" s="39" t="s">
        <v>496</v>
      </c>
      <c r="D112" s="29">
        <v>45800.208518518513</v>
      </c>
      <c r="E112" s="29"/>
      <c r="F112" s="16" t="s">
        <v>122</v>
      </c>
      <c r="G112" s="16" t="s">
        <v>123</v>
      </c>
      <c r="H112" s="16" t="s">
        <v>32</v>
      </c>
      <c r="I112" s="16" t="s">
        <v>156</v>
      </c>
      <c r="J112" s="30" t="s">
        <v>125</v>
      </c>
      <c r="K112" s="16" t="s">
        <v>126</v>
      </c>
      <c r="L112" s="16">
        <f t="shared" si="56"/>
        <v>31.94</v>
      </c>
      <c r="M112" s="40">
        <v>5192000</v>
      </c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E112" s="31"/>
      <c r="AF112" s="32">
        <f t="shared" si="57"/>
        <v>5192000</v>
      </c>
      <c r="AI112" s="31">
        <v>623120</v>
      </c>
      <c r="AJ112" s="31"/>
      <c r="AK112" s="31">
        <v>27200</v>
      </c>
      <c r="AL112" s="31">
        <v>207700</v>
      </c>
      <c r="AM112" s="31"/>
      <c r="AN112" s="31"/>
      <c r="AO112" s="32">
        <f t="shared" si="58"/>
        <v>858020</v>
      </c>
      <c r="AR112" s="31">
        <v>432667</v>
      </c>
      <c r="AS112" s="31">
        <v>564667</v>
      </c>
      <c r="AT112" s="31">
        <v>80153</v>
      </c>
      <c r="AU112" s="32">
        <f t="shared" si="59"/>
        <v>1077487</v>
      </c>
      <c r="AV112" s="41">
        <f t="shared" si="48"/>
        <v>1995968</v>
      </c>
      <c r="AX112" s="31">
        <v>0</v>
      </c>
      <c r="AY112" s="31">
        <v>0</v>
      </c>
      <c r="AZ112" s="31">
        <v>0</v>
      </c>
      <c r="BA112" s="20">
        <v>0</v>
      </c>
      <c r="BB112" s="31">
        <v>0</v>
      </c>
      <c r="BC112" s="31">
        <f t="shared" si="49"/>
        <v>60461</v>
      </c>
      <c r="BD112" s="35">
        <f t="shared" si="60"/>
        <v>60461</v>
      </c>
      <c r="BF112" s="42">
        <f t="shared" si="50"/>
        <v>11.399999999999999</v>
      </c>
      <c r="BG112" s="42">
        <f t="shared" si="51"/>
        <v>9.5108820562015168</v>
      </c>
      <c r="BH112" s="31">
        <f t="shared" si="61"/>
        <v>7216719.8720000004</v>
      </c>
      <c r="BI112" s="31">
        <f t="shared" si="52"/>
        <v>181383</v>
      </c>
      <c r="BJ112" s="31">
        <f t="shared" si="62"/>
        <v>28751.871999999999</v>
      </c>
      <c r="BK112" s="31">
        <f t="shared" si="63"/>
        <v>34462.769999999997</v>
      </c>
      <c r="BL112" s="31">
        <f t="shared" si="64"/>
        <v>7432565.642</v>
      </c>
      <c r="BM112" s="36">
        <v>3023.05</v>
      </c>
      <c r="BN112" s="37">
        <f t="shared" si="65"/>
        <v>2387.23</v>
      </c>
      <c r="BO112" s="37">
        <f t="shared" si="66"/>
        <v>60</v>
      </c>
      <c r="BP112" s="37">
        <f t="shared" si="67"/>
        <v>11.4</v>
      </c>
      <c r="BQ112" s="37">
        <f t="shared" si="68"/>
        <v>2458.63</v>
      </c>
      <c r="BR112" s="38">
        <v>2458.65</v>
      </c>
      <c r="BS112" s="37">
        <f t="shared" si="53"/>
        <v>-1.999999999998181E-2</v>
      </c>
      <c r="BT112" s="46"/>
      <c r="BW112" s="31">
        <f t="shared" si="54"/>
        <v>120922</v>
      </c>
      <c r="BX112" s="31">
        <f t="shared" si="55"/>
        <v>60461</v>
      </c>
    </row>
    <row r="113" spans="1:76" x14ac:dyDescent="0.3">
      <c r="A113" s="47" t="s">
        <v>497</v>
      </c>
      <c r="B113" s="16" t="s">
        <v>498</v>
      </c>
      <c r="C113" s="39" t="s">
        <v>499</v>
      </c>
      <c r="D113" s="29">
        <v>46132.208518518513</v>
      </c>
      <c r="E113" s="29"/>
      <c r="F113" s="16" t="s">
        <v>122</v>
      </c>
      <c r="G113" s="16" t="s">
        <v>123</v>
      </c>
      <c r="H113" s="16" t="s">
        <v>43</v>
      </c>
      <c r="I113" s="16" t="s">
        <v>140</v>
      </c>
      <c r="J113" s="30" t="s">
        <v>125</v>
      </c>
      <c r="K113" s="16" t="s">
        <v>126</v>
      </c>
      <c r="L113" s="16">
        <f t="shared" si="56"/>
        <v>31.94</v>
      </c>
      <c r="M113" s="40">
        <v>2900000</v>
      </c>
      <c r="N113" s="31"/>
      <c r="O113" s="31"/>
      <c r="P113" s="31"/>
      <c r="Q113" s="31"/>
      <c r="R113" s="31"/>
      <c r="S113" s="31">
        <v>348456</v>
      </c>
      <c r="T113" s="31"/>
      <c r="U113" s="31"/>
      <c r="V113" s="31"/>
      <c r="W113" s="31"/>
      <c r="X113" s="31"/>
      <c r="Y113" s="31"/>
      <c r="Z113" s="40">
        <v>240792</v>
      </c>
      <c r="AA113" s="31"/>
      <c r="AB113" s="31"/>
      <c r="AC113" s="31"/>
      <c r="AE113" s="31"/>
      <c r="AF113" s="32">
        <f t="shared" si="57"/>
        <v>3489248</v>
      </c>
      <c r="AI113" s="31">
        <v>403762</v>
      </c>
      <c r="AJ113" s="31"/>
      <c r="AK113" s="31">
        <v>17000</v>
      </c>
      <c r="AL113" s="31">
        <v>130000</v>
      </c>
      <c r="AM113" s="31"/>
      <c r="AN113" s="31"/>
      <c r="AO113" s="32">
        <f t="shared" si="58"/>
        <v>550762</v>
      </c>
      <c r="AR113" s="31">
        <v>299104</v>
      </c>
      <c r="AS113" s="31">
        <v>299104</v>
      </c>
      <c r="AT113" s="31">
        <v>28846</v>
      </c>
      <c r="AU113" s="32">
        <f t="shared" si="59"/>
        <v>627054</v>
      </c>
      <c r="AV113" s="41">
        <f t="shared" si="48"/>
        <v>1238277</v>
      </c>
      <c r="AX113" s="31">
        <v>0</v>
      </c>
      <c r="AY113" s="31">
        <v>0</v>
      </c>
      <c r="AZ113" s="31">
        <v>0</v>
      </c>
      <c r="BA113" s="20">
        <v>0</v>
      </c>
      <c r="BB113" s="31">
        <v>0</v>
      </c>
      <c r="BC113" s="31">
        <f t="shared" si="49"/>
        <v>60461</v>
      </c>
      <c r="BD113" s="35">
        <f t="shared" si="60"/>
        <v>60461</v>
      </c>
      <c r="BF113" s="42">
        <f t="shared" si="50"/>
        <v>11.399999999999999</v>
      </c>
      <c r="BG113" s="42">
        <f t="shared" si="51"/>
        <v>6.2553050726914874</v>
      </c>
      <c r="BH113" s="31">
        <f t="shared" si="61"/>
        <v>4746435.0999999996</v>
      </c>
      <c r="BI113" s="31">
        <f t="shared" si="52"/>
        <v>181383</v>
      </c>
      <c r="BJ113" s="31">
        <f t="shared" si="62"/>
        <v>18910.100000000002</v>
      </c>
      <c r="BK113" s="31">
        <f t="shared" si="63"/>
        <v>34462.769999999997</v>
      </c>
      <c r="BL113" s="31">
        <f t="shared" si="64"/>
        <v>4962280.8699999992</v>
      </c>
      <c r="BM113" s="36">
        <v>3023.05</v>
      </c>
      <c r="BN113" s="37">
        <f t="shared" si="65"/>
        <v>1570.08</v>
      </c>
      <c r="BO113" s="37">
        <f t="shared" si="66"/>
        <v>60</v>
      </c>
      <c r="BP113" s="37">
        <f t="shared" si="67"/>
        <v>11.4</v>
      </c>
      <c r="BQ113" s="37">
        <f t="shared" si="68"/>
        <v>1641.48</v>
      </c>
      <c r="BR113" s="38">
        <v>1641.51</v>
      </c>
      <c r="BS113" s="37">
        <f t="shared" si="53"/>
        <v>-2.9999999999972715E-2</v>
      </c>
      <c r="BT113" s="46" t="s">
        <v>500</v>
      </c>
      <c r="BW113" s="31">
        <f t="shared" si="54"/>
        <v>120922</v>
      </c>
      <c r="BX113" s="31">
        <f t="shared" si="55"/>
        <v>60461</v>
      </c>
    </row>
    <row r="114" spans="1:76" x14ac:dyDescent="0.3">
      <c r="A114" s="47" t="s">
        <v>501</v>
      </c>
      <c r="B114" s="16" t="s">
        <v>502</v>
      </c>
      <c r="C114" s="39" t="s">
        <v>503</v>
      </c>
      <c r="D114" s="29">
        <v>46204.208518518513</v>
      </c>
      <c r="E114" s="29"/>
      <c r="F114" s="16" t="s">
        <v>122</v>
      </c>
      <c r="G114" s="16" t="s">
        <v>123</v>
      </c>
      <c r="H114" s="16" t="s">
        <v>43</v>
      </c>
      <c r="I114" s="16" t="s">
        <v>140</v>
      </c>
      <c r="J114" s="30" t="s">
        <v>125</v>
      </c>
      <c r="K114" s="16" t="s">
        <v>126</v>
      </c>
      <c r="L114" s="16">
        <f t="shared" si="56"/>
        <v>31.94</v>
      </c>
      <c r="M114" s="31">
        <v>4400000</v>
      </c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E114" s="31"/>
      <c r="AF114" s="32">
        <f t="shared" si="57"/>
        <v>4400000</v>
      </c>
      <c r="AI114" s="31">
        <v>528000</v>
      </c>
      <c r="AJ114" s="31"/>
      <c r="AK114" s="31">
        <v>23000</v>
      </c>
      <c r="AL114" s="31">
        <v>176000</v>
      </c>
      <c r="AM114" s="31"/>
      <c r="AN114" s="31"/>
      <c r="AO114" s="32">
        <f t="shared" si="58"/>
        <v>727000</v>
      </c>
      <c r="AR114" s="31">
        <v>366667</v>
      </c>
      <c r="AS114" s="31">
        <v>366667</v>
      </c>
      <c r="AT114" s="31">
        <v>18333</v>
      </c>
      <c r="AU114" s="32">
        <f t="shared" si="59"/>
        <v>751667</v>
      </c>
      <c r="AV114" s="41">
        <f t="shared" si="48"/>
        <v>1539128</v>
      </c>
      <c r="AX114" s="31">
        <v>0</v>
      </c>
      <c r="AY114" s="31">
        <v>0</v>
      </c>
      <c r="AZ114" s="31">
        <v>0</v>
      </c>
      <c r="BA114" s="20">
        <v>0</v>
      </c>
      <c r="BB114" s="31">
        <v>0</v>
      </c>
      <c r="BC114" s="31">
        <f t="shared" si="49"/>
        <v>60461</v>
      </c>
      <c r="BD114" s="35">
        <f t="shared" si="60"/>
        <v>60461</v>
      </c>
      <c r="BF114" s="42">
        <f t="shared" si="50"/>
        <v>11.399999999999999</v>
      </c>
      <c r="BG114" s="42">
        <f t="shared" si="51"/>
        <v>7.8584581796529989</v>
      </c>
      <c r="BH114" s="31">
        <f t="shared" si="61"/>
        <v>5962884.5120000001</v>
      </c>
      <c r="BI114" s="31">
        <f t="shared" si="52"/>
        <v>181383</v>
      </c>
      <c r="BJ114" s="31">
        <f t="shared" si="62"/>
        <v>23756.511999999999</v>
      </c>
      <c r="BK114" s="31">
        <f t="shared" si="63"/>
        <v>34462.769999999997</v>
      </c>
      <c r="BL114" s="31">
        <f t="shared" si="64"/>
        <v>6178730.2819999997</v>
      </c>
      <c r="BM114" s="36">
        <v>3023.05</v>
      </c>
      <c r="BN114" s="37">
        <f t="shared" si="65"/>
        <v>1972.47</v>
      </c>
      <c r="BO114" s="37">
        <f t="shared" si="66"/>
        <v>60</v>
      </c>
      <c r="BP114" s="37">
        <f t="shared" si="67"/>
        <v>11.4</v>
      </c>
      <c r="BQ114" s="37">
        <f t="shared" si="68"/>
        <v>2043.8700000000001</v>
      </c>
      <c r="BR114" s="38">
        <v>2043.89</v>
      </c>
      <c r="BS114" s="37">
        <f t="shared" si="53"/>
        <v>-1.999999999998181E-2</v>
      </c>
      <c r="BT114" s="46"/>
      <c r="BW114" s="31">
        <f t="shared" si="54"/>
        <v>120922</v>
      </c>
      <c r="BX114" s="31">
        <f t="shared" si="55"/>
        <v>60461</v>
      </c>
    </row>
    <row r="115" spans="1:76" x14ac:dyDescent="0.3">
      <c r="A115" s="47" t="s">
        <v>504</v>
      </c>
      <c r="B115" s="16" t="s">
        <v>505</v>
      </c>
      <c r="C115" s="27" t="s">
        <v>506</v>
      </c>
      <c r="D115" s="29">
        <v>46237.208518518513</v>
      </c>
      <c r="E115" s="29"/>
      <c r="F115" s="16" t="s">
        <v>122</v>
      </c>
      <c r="G115" s="16" t="s">
        <v>123</v>
      </c>
      <c r="H115" s="16" t="s">
        <v>45</v>
      </c>
      <c r="I115" s="16" t="s">
        <v>254</v>
      </c>
      <c r="J115" s="30" t="s">
        <v>125</v>
      </c>
      <c r="K115" s="16" t="s">
        <v>126</v>
      </c>
      <c r="L115" s="16">
        <f t="shared" si="56"/>
        <v>31.94</v>
      </c>
      <c r="M115" s="31">
        <v>7800000</v>
      </c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E115" s="31"/>
      <c r="AF115" s="32">
        <f t="shared" si="57"/>
        <v>7800000</v>
      </c>
      <c r="AI115" s="31">
        <v>936000</v>
      </c>
      <c r="AJ115" s="31"/>
      <c r="AK115" s="31">
        <v>40800</v>
      </c>
      <c r="AL115" s="31">
        <v>312000</v>
      </c>
      <c r="AM115" s="31"/>
      <c r="AN115" s="31"/>
      <c r="AO115" s="32">
        <f t="shared" si="58"/>
        <v>1288800</v>
      </c>
      <c r="AR115" s="31">
        <v>650000</v>
      </c>
      <c r="AS115" s="31">
        <v>650000</v>
      </c>
      <c r="AT115" s="31">
        <v>18634</v>
      </c>
      <c r="AU115" s="32">
        <f t="shared" si="59"/>
        <v>1318634</v>
      </c>
      <c r="AV115" s="41">
        <f t="shared" si="48"/>
        <v>2667895</v>
      </c>
      <c r="AX115" s="31">
        <v>0</v>
      </c>
      <c r="AY115" s="31">
        <v>0</v>
      </c>
      <c r="AZ115" s="31">
        <v>0</v>
      </c>
      <c r="BA115" s="20">
        <v>0</v>
      </c>
      <c r="BB115" s="31">
        <v>0</v>
      </c>
      <c r="BC115" s="31">
        <f t="shared" si="49"/>
        <v>60461</v>
      </c>
      <c r="BD115" s="35">
        <f t="shared" si="60"/>
        <v>60461</v>
      </c>
      <c r="BF115" s="28">
        <f t="shared" si="50"/>
        <v>11.399999999999999</v>
      </c>
      <c r="BG115" s="28">
        <f t="shared" si="51"/>
        <v>13.85077322571575</v>
      </c>
      <c r="BH115" s="31">
        <f t="shared" si="61"/>
        <v>10509766.58</v>
      </c>
      <c r="BI115" s="31">
        <f t="shared" si="52"/>
        <v>181383</v>
      </c>
      <c r="BJ115" s="40">
        <f t="shared" si="62"/>
        <v>41871.58</v>
      </c>
      <c r="BK115" s="40">
        <f t="shared" si="63"/>
        <v>34462.769999999997</v>
      </c>
      <c r="BL115" s="31">
        <f t="shared" si="64"/>
        <v>10725612.35</v>
      </c>
      <c r="BM115" s="36">
        <v>3023.05</v>
      </c>
      <c r="BN115" s="37">
        <f t="shared" si="65"/>
        <v>3476.54</v>
      </c>
      <c r="BO115" s="37">
        <f t="shared" si="66"/>
        <v>60</v>
      </c>
      <c r="BP115" s="37">
        <f t="shared" si="67"/>
        <v>11.4</v>
      </c>
      <c r="BQ115" s="37">
        <f t="shared" si="68"/>
        <v>3547.94</v>
      </c>
      <c r="BR115" s="38">
        <v>3547.95</v>
      </c>
      <c r="BS115" s="37">
        <f t="shared" si="53"/>
        <v>-9.9999999997635314E-3</v>
      </c>
      <c r="BT115" s="46"/>
      <c r="BW115" s="31">
        <f t="shared" si="54"/>
        <v>120922</v>
      </c>
      <c r="BX115" s="31">
        <f t="shared" si="55"/>
        <v>60461</v>
      </c>
    </row>
    <row r="116" spans="1:76" x14ac:dyDescent="0.3">
      <c r="A116" s="47" t="s">
        <v>507</v>
      </c>
      <c r="B116" s="16" t="s">
        <v>508</v>
      </c>
      <c r="C116" s="27" t="s">
        <v>509</v>
      </c>
      <c r="D116" s="29">
        <v>46254.208518518513</v>
      </c>
      <c r="E116" s="29"/>
      <c r="F116" s="16" t="s">
        <v>122</v>
      </c>
      <c r="G116" s="16" t="s">
        <v>123</v>
      </c>
      <c r="H116" s="16" t="s">
        <v>39</v>
      </c>
      <c r="I116" s="16" t="s">
        <v>190</v>
      </c>
      <c r="J116" s="30" t="s">
        <v>125</v>
      </c>
      <c r="K116" s="16" t="s">
        <v>126</v>
      </c>
      <c r="L116" s="16">
        <f t="shared" si="56"/>
        <v>31.94</v>
      </c>
      <c r="M116" s="31">
        <v>9340660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E116" s="31"/>
      <c r="AF116" s="32">
        <f t="shared" si="57"/>
        <v>9340660</v>
      </c>
      <c r="AI116" s="31">
        <v>1120974</v>
      </c>
      <c r="AJ116" s="31"/>
      <c r="AK116" s="31">
        <v>48800</v>
      </c>
      <c r="AL116" s="31">
        <v>373700</v>
      </c>
      <c r="AM116" s="31"/>
      <c r="AN116" s="31"/>
      <c r="AO116" s="32">
        <f t="shared" si="58"/>
        <v>1543474</v>
      </c>
      <c r="AR116" s="31">
        <v>778388</v>
      </c>
      <c r="AS116" s="31">
        <v>778388</v>
      </c>
      <c r="AT116" s="31">
        <v>13493</v>
      </c>
      <c r="AU116" s="32">
        <f t="shared" si="59"/>
        <v>1570269</v>
      </c>
      <c r="AV116" s="41">
        <f t="shared" si="48"/>
        <v>3174204</v>
      </c>
      <c r="AX116" s="31">
        <v>0</v>
      </c>
      <c r="AY116" s="31">
        <v>0</v>
      </c>
      <c r="AZ116" s="31">
        <v>0</v>
      </c>
      <c r="BA116" s="20">
        <v>0</v>
      </c>
      <c r="BB116" s="31">
        <v>0</v>
      </c>
      <c r="BC116" s="31">
        <f t="shared" si="49"/>
        <v>60461</v>
      </c>
      <c r="BD116" s="35">
        <f t="shared" si="60"/>
        <v>60461</v>
      </c>
      <c r="BF116" s="28">
        <f t="shared" si="50"/>
        <v>11.399999999999999</v>
      </c>
      <c r="BG116" s="28">
        <f t="shared" si="51"/>
        <v>16.559255056978877</v>
      </c>
      <c r="BH116" s="31">
        <f t="shared" si="61"/>
        <v>12564923.456</v>
      </c>
      <c r="BI116" s="31">
        <f t="shared" si="52"/>
        <v>181383</v>
      </c>
      <c r="BJ116" s="40">
        <f t="shared" si="62"/>
        <v>50059.455999999998</v>
      </c>
      <c r="BK116" s="40">
        <f t="shared" si="63"/>
        <v>34462.769999999997</v>
      </c>
      <c r="BL116" s="31">
        <f t="shared" si="64"/>
        <v>12780769.226</v>
      </c>
      <c r="BM116" s="36">
        <v>3023.05</v>
      </c>
      <c r="BN116" s="37">
        <f t="shared" si="65"/>
        <v>4156.37</v>
      </c>
      <c r="BO116" s="37">
        <f t="shared" si="66"/>
        <v>60</v>
      </c>
      <c r="BP116" s="37">
        <f t="shared" si="67"/>
        <v>11.4</v>
      </c>
      <c r="BQ116" s="37">
        <f t="shared" si="68"/>
        <v>4227.7699999999995</v>
      </c>
      <c r="BR116" s="38">
        <v>4227.79</v>
      </c>
      <c r="BS116" s="37">
        <f t="shared" si="53"/>
        <v>-2.0000000000436557E-2</v>
      </c>
      <c r="BT116" s="46"/>
      <c r="BW116" s="31">
        <f t="shared" si="54"/>
        <v>120922</v>
      </c>
      <c r="BX116" s="31">
        <f t="shared" si="55"/>
        <v>60461</v>
      </c>
    </row>
    <row r="117" spans="1:76" x14ac:dyDescent="0.3">
      <c r="A117" s="47" t="s">
        <v>510</v>
      </c>
      <c r="B117" s="16" t="s">
        <v>511</v>
      </c>
      <c r="C117" s="39" t="s">
        <v>512</v>
      </c>
      <c r="D117" s="29">
        <v>46230.208518518513</v>
      </c>
      <c r="E117" s="29"/>
      <c r="F117" s="16" t="s">
        <v>122</v>
      </c>
      <c r="G117" s="16" t="s">
        <v>123</v>
      </c>
      <c r="H117" s="16" t="s">
        <v>43</v>
      </c>
      <c r="I117" s="16" t="s">
        <v>140</v>
      </c>
      <c r="J117" s="30" t="s">
        <v>125</v>
      </c>
      <c r="K117" s="16" t="s">
        <v>126</v>
      </c>
      <c r="L117" s="16">
        <f t="shared" si="56"/>
        <v>31.94</v>
      </c>
      <c r="M117" s="31">
        <v>3479000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40">
        <v>249095</v>
      </c>
      <c r="AA117" s="31"/>
      <c r="AB117" s="31"/>
      <c r="AC117" s="31"/>
      <c r="AE117" s="31"/>
      <c r="AF117" s="32">
        <f t="shared" si="57"/>
        <v>3728095</v>
      </c>
      <c r="AI117" s="31">
        <v>417540</v>
      </c>
      <c r="AJ117" s="31"/>
      <c r="AK117" s="31">
        <v>18200</v>
      </c>
      <c r="AL117" s="31">
        <v>139200</v>
      </c>
      <c r="AM117" s="31"/>
      <c r="AN117" s="31"/>
      <c r="AO117" s="32">
        <f t="shared" si="58"/>
        <v>574940</v>
      </c>
      <c r="AR117" s="31">
        <v>310674</v>
      </c>
      <c r="AS117" s="31">
        <v>310674</v>
      </c>
      <c r="AT117" s="31">
        <v>10149</v>
      </c>
      <c r="AU117" s="32">
        <f t="shared" si="59"/>
        <v>631497</v>
      </c>
      <c r="AV117" s="41">
        <f t="shared" si="48"/>
        <v>1266898</v>
      </c>
      <c r="AX117" s="31">
        <v>0</v>
      </c>
      <c r="AY117" s="31">
        <v>0</v>
      </c>
      <c r="AZ117" s="31">
        <v>0</v>
      </c>
      <c r="BA117" s="20">
        <v>0</v>
      </c>
      <c r="BB117" s="31">
        <v>0</v>
      </c>
      <c r="BC117" s="31">
        <f t="shared" si="49"/>
        <v>60461</v>
      </c>
      <c r="BD117" s="35">
        <f t="shared" si="60"/>
        <v>60461</v>
      </c>
      <c r="BF117" s="42">
        <f t="shared" si="50"/>
        <v>11.399999999999999</v>
      </c>
      <c r="BG117" s="42">
        <f t="shared" si="51"/>
        <v>6.609209903904997</v>
      </c>
      <c r="BH117" s="31">
        <f t="shared" si="61"/>
        <v>5014972.9720000001</v>
      </c>
      <c r="BI117" s="31">
        <f t="shared" si="52"/>
        <v>181383</v>
      </c>
      <c r="BJ117" s="31">
        <f t="shared" si="62"/>
        <v>19979.972000000002</v>
      </c>
      <c r="BK117" s="31">
        <f t="shared" si="63"/>
        <v>34462.769999999997</v>
      </c>
      <c r="BL117" s="31">
        <f t="shared" si="64"/>
        <v>5230818.7419999996</v>
      </c>
      <c r="BM117" s="36">
        <v>3023.05</v>
      </c>
      <c r="BN117" s="37">
        <f t="shared" si="65"/>
        <v>1658.91</v>
      </c>
      <c r="BO117" s="37">
        <f t="shared" si="66"/>
        <v>60</v>
      </c>
      <c r="BP117" s="37">
        <f t="shared" si="67"/>
        <v>11.4</v>
      </c>
      <c r="BQ117" s="37">
        <f t="shared" si="68"/>
        <v>1730.3100000000002</v>
      </c>
      <c r="BR117" s="38">
        <v>1730.32</v>
      </c>
      <c r="BS117" s="37">
        <f t="shared" si="53"/>
        <v>-9.9999999997635314E-3</v>
      </c>
      <c r="BT117" s="46"/>
      <c r="BW117" s="31">
        <f t="shared" si="54"/>
        <v>120922</v>
      </c>
      <c r="BX117" s="31">
        <f t="shared" si="55"/>
        <v>60461</v>
      </c>
    </row>
    <row r="118" spans="1:76" x14ac:dyDescent="0.3">
      <c r="A118" s="47" t="s">
        <v>513</v>
      </c>
      <c r="B118" s="16" t="s">
        <v>514</v>
      </c>
      <c r="C118" s="39" t="s">
        <v>515</v>
      </c>
      <c r="D118" s="29">
        <v>45520.208518518513</v>
      </c>
      <c r="E118" s="29"/>
      <c r="F118" s="16" t="s">
        <v>122</v>
      </c>
      <c r="G118" s="16" t="s">
        <v>123</v>
      </c>
      <c r="H118" s="16" t="s">
        <v>32</v>
      </c>
      <c r="I118" s="16" t="s">
        <v>156</v>
      </c>
      <c r="J118" s="30" t="s">
        <v>125</v>
      </c>
      <c r="K118" s="16" t="s">
        <v>126</v>
      </c>
      <c r="L118" s="16">
        <f t="shared" si="56"/>
        <v>31.94</v>
      </c>
      <c r="M118" s="31">
        <v>6000000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E118" s="31"/>
      <c r="AF118" s="32">
        <f t="shared" si="57"/>
        <v>6000000</v>
      </c>
      <c r="AI118" s="31">
        <v>720000</v>
      </c>
      <c r="AJ118" s="31"/>
      <c r="AK118" s="31">
        <v>31400</v>
      </c>
      <c r="AL118" s="31">
        <v>240000</v>
      </c>
      <c r="AM118" s="31"/>
      <c r="AN118" s="31"/>
      <c r="AO118" s="32">
        <f t="shared" si="58"/>
        <v>991400</v>
      </c>
      <c r="AR118" s="31">
        <v>500000</v>
      </c>
      <c r="AS118" s="31">
        <v>500000</v>
      </c>
      <c r="AT118" s="31">
        <v>79558</v>
      </c>
      <c r="AU118" s="32">
        <f t="shared" si="59"/>
        <v>1079558</v>
      </c>
      <c r="AV118" s="41">
        <f t="shared" si="48"/>
        <v>2131419</v>
      </c>
      <c r="AX118" s="31">
        <v>0</v>
      </c>
      <c r="AY118" s="31">
        <v>0</v>
      </c>
      <c r="AZ118" s="40">
        <v>117500</v>
      </c>
      <c r="BA118" s="20">
        <v>0</v>
      </c>
      <c r="BB118" s="31">
        <v>0</v>
      </c>
      <c r="BC118" s="31">
        <f t="shared" si="49"/>
        <v>60461</v>
      </c>
      <c r="BD118" s="35">
        <f t="shared" si="60"/>
        <v>177961</v>
      </c>
      <c r="BF118" s="42">
        <f t="shared" si="50"/>
        <v>11.399999999999999</v>
      </c>
      <c r="BG118" s="42">
        <f t="shared" si="51"/>
        <v>10.914697408246637</v>
      </c>
      <c r="BH118" s="31">
        <f t="shared" si="61"/>
        <v>8281914.676</v>
      </c>
      <c r="BI118" s="31">
        <f t="shared" si="52"/>
        <v>181383</v>
      </c>
      <c r="BJ118" s="31">
        <f t="shared" si="62"/>
        <v>32995.675999999999</v>
      </c>
      <c r="BK118" s="31">
        <f t="shared" si="63"/>
        <v>34462.769999999997</v>
      </c>
      <c r="BL118" s="31">
        <f t="shared" si="64"/>
        <v>8497760.4459999986</v>
      </c>
      <c r="BM118" s="36">
        <v>3023.05</v>
      </c>
      <c r="BN118" s="37">
        <f t="shared" si="65"/>
        <v>2739.59</v>
      </c>
      <c r="BO118" s="37">
        <f t="shared" si="66"/>
        <v>60</v>
      </c>
      <c r="BP118" s="37">
        <f t="shared" si="67"/>
        <v>11.4</v>
      </c>
      <c r="BQ118" s="37">
        <f t="shared" si="68"/>
        <v>2810.9900000000002</v>
      </c>
      <c r="BR118" s="38">
        <v>2811</v>
      </c>
      <c r="BS118" s="37">
        <f t="shared" si="53"/>
        <v>-9.9999999997635314E-3</v>
      </c>
      <c r="BT118" s="46"/>
      <c r="BW118" s="31">
        <f t="shared" si="54"/>
        <v>120922</v>
      </c>
      <c r="BX118" s="31">
        <f t="shared" si="55"/>
        <v>60461</v>
      </c>
    </row>
    <row r="119" spans="1:76" x14ac:dyDescent="0.3">
      <c r="A119" s="47" t="s">
        <v>516</v>
      </c>
      <c r="B119" s="16" t="s">
        <v>517</v>
      </c>
      <c r="C119" s="27" t="s">
        <v>518</v>
      </c>
      <c r="D119" s="29">
        <v>46037.208518518513</v>
      </c>
      <c r="E119" s="29"/>
      <c r="F119" s="16" t="s">
        <v>122</v>
      </c>
      <c r="G119" s="16" t="s">
        <v>123</v>
      </c>
      <c r="H119" s="16" t="s">
        <v>27</v>
      </c>
      <c r="I119" s="16" t="s">
        <v>175</v>
      </c>
      <c r="J119" s="30" t="s">
        <v>125</v>
      </c>
      <c r="K119" s="16" t="s">
        <v>126</v>
      </c>
      <c r="L119" s="16">
        <f t="shared" si="56"/>
        <v>31.94</v>
      </c>
      <c r="M119" s="31">
        <v>5300000</v>
      </c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E119" s="31"/>
      <c r="AF119" s="32">
        <f t="shared" si="57"/>
        <v>5300000</v>
      </c>
      <c r="AI119" s="31">
        <v>636000</v>
      </c>
      <c r="AJ119" s="31"/>
      <c r="AK119" s="31">
        <v>129200</v>
      </c>
      <c r="AL119" s="31">
        <v>212000</v>
      </c>
      <c r="AM119" s="31"/>
      <c r="AN119" s="31"/>
      <c r="AO119" s="32">
        <f t="shared" si="58"/>
        <v>977200</v>
      </c>
      <c r="AR119" s="31">
        <v>441667</v>
      </c>
      <c r="AS119" s="31">
        <v>441666</v>
      </c>
      <c r="AT119" s="31">
        <v>73095</v>
      </c>
      <c r="AU119" s="32">
        <f t="shared" si="59"/>
        <v>956428</v>
      </c>
      <c r="AV119" s="41">
        <f t="shared" si="48"/>
        <v>1994089</v>
      </c>
      <c r="AX119" s="31">
        <v>0</v>
      </c>
      <c r="AY119" s="31">
        <v>0</v>
      </c>
      <c r="AZ119" s="31">
        <v>0</v>
      </c>
      <c r="BA119" s="20">
        <v>0</v>
      </c>
      <c r="BB119" s="31">
        <v>0</v>
      </c>
      <c r="BC119" s="31">
        <f t="shared" si="49"/>
        <v>60461</v>
      </c>
      <c r="BD119" s="35">
        <f t="shared" si="60"/>
        <v>60461</v>
      </c>
      <c r="BF119" s="28">
        <f t="shared" si="50"/>
        <v>11.399999999999999</v>
      </c>
      <c r="BG119" s="28">
        <f t="shared" si="51"/>
        <v>9.6512978614313347</v>
      </c>
      <c r="BH119" s="31">
        <f t="shared" si="61"/>
        <v>7323265.3559999997</v>
      </c>
      <c r="BI119" s="31">
        <f t="shared" si="52"/>
        <v>181383</v>
      </c>
      <c r="BJ119" s="40">
        <f t="shared" si="62"/>
        <v>29176.356</v>
      </c>
      <c r="BK119" s="40">
        <f t="shared" si="63"/>
        <v>34462.769999999997</v>
      </c>
      <c r="BL119" s="31">
        <f t="shared" si="64"/>
        <v>7539111.1259999992</v>
      </c>
      <c r="BM119" s="36">
        <v>3023.05</v>
      </c>
      <c r="BN119" s="37">
        <f t="shared" si="65"/>
        <v>2422.48</v>
      </c>
      <c r="BO119" s="37">
        <f t="shared" si="66"/>
        <v>60</v>
      </c>
      <c r="BP119" s="37">
        <f t="shared" si="67"/>
        <v>11.4</v>
      </c>
      <c r="BQ119" s="37">
        <f t="shared" si="68"/>
        <v>2493.88</v>
      </c>
      <c r="BR119" s="38">
        <v>2493.88</v>
      </c>
      <c r="BS119" s="37">
        <f t="shared" si="53"/>
        <v>0</v>
      </c>
      <c r="BT119" s="46"/>
      <c r="BW119" s="31">
        <f t="shared" si="54"/>
        <v>120922</v>
      </c>
      <c r="BX119" s="31">
        <f t="shared" si="55"/>
        <v>60461</v>
      </c>
    </row>
    <row r="120" spans="1:76" x14ac:dyDescent="0.3">
      <c r="A120" s="47" t="s">
        <v>519</v>
      </c>
      <c r="B120" s="16" t="s">
        <v>520</v>
      </c>
      <c r="C120" s="27" t="s">
        <v>521</v>
      </c>
      <c r="D120" s="29">
        <v>46209.208518518513</v>
      </c>
      <c r="E120" s="29">
        <v>46387.208518518513</v>
      </c>
      <c r="F120" s="16" t="s">
        <v>122</v>
      </c>
      <c r="G120" s="16" t="s">
        <v>123</v>
      </c>
      <c r="H120" s="16" t="s">
        <v>41</v>
      </c>
      <c r="I120" s="16" t="s">
        <v>247</v>
      </c>
      <c r="J120" s="30" t="s">
        <v>125</v>
      </c>
      <c r="K120" s="16" t="s">
        <v>126</v>
      </c>
      <c r="L120" s="16">
        <f t="shared" si="56"/>
        <v>31.94</v>
      </c>
      <c r="M120" s="31">
        <v>8603092</v>
      </c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E120" s="31"/>
      <c r="AF120" s="32">
        <f t="shared" si="57"/>
        <v>8603092</v>
      </c>
      <c r="AI120" s="31">
        <v>1032376</v>
      </c>
      <c r="AJ120" s="31"/>
      <c r="AK120" s="31">
        <v>45000</v>
      </c>
      <c r="AL120" s="31">
        <v>344200</v>
      </c>
      <c r="AM120" s="31"/>
      <c r="AN120" s="31"/>
      <c r="AO120" s="32">
        <f t="shared" si="58"/>
        <v>1421576</v>
      </c>
      <c r="AR120" s="31">
        <v>716925</v>
      </c>
      <c r="AS120" s="31">
        <v>716925</v>
      </c>
      <c r="AT120" s="31">
        <v>33456</v>
      </c>
      <c r="AU120" s="32">
        <f t="shared" si="59"/>
        <v>1467306</v>
      </c>
      <c r="AV120" s="41">
        <f t="shared" si="48"/>
        <v>2949343</v>
      </c>
      <c r="AX120" s="31">
        <v>0</v>
      </c>
      <c r="AY120" s="31">
        <v>0</v>
      </c>
      <c r="AZ120" s="31">
        <v>0</v>
      </c>
      <c r="BA120" s="20">
        <v>0</v>
      </c>
      <c r="BB120" s="31">
        <v>0</v>
      </c>
      <c r="BC120" s="31">
        <f t="shared" si="49"/>
        <v>60461</v>
      </c>
      <c r="BD120" s="35">
        <f t="shared" si="60"/>
        <v>60461</v>
      </c>
      <c r="BF120" s="28">
        <f t="shared" si="50"/>
        <v>11.399999999999999</v>
      </c>
      <c r="BG120" s="28">
        <f t="shared" si="51"/>
        <v>15.285800764128942</v>
      </c>
      <c r="BH120" s="31">
        <f t="shared" si="61"/>
        <v>11598644.74</v>
      </c>
      <c r="BI120" s="31">
        <f t="shared" si="52"/>
        <v>181383</v>
      </c>
      <c r="BJ120" s="40">
        <f t="shared" si="62"/>
        <v>46209.74</v>
      </c>
      <c r="BK120" s="40">
        <f t="shared" si="63"/>
        <v>34462.769999999997</v>
      </c>
      <c r="BL120" s="31">
        <f t="shared" si="64"/>
        <v>11814490.51</v>
      </c>
      <c r="BM120" s="36">
        <v>3023.05</v>
      </c>
      <c r="BN120" s="37">
        <f t="shared" si="65"/>
        <v>3836.74</v>
      </c>
      <c r="BO120" s="37">
        <f t="shared" si="66"/>
        <v>60</v>
      </c>
      <c r="BP120" s="37">
        <f t="shared" si="67"/>
        <v>11.4</v>
      </c>
      <c r="BQ120" s="37">
        <f t="shared" si="68"/>
        <v>3908.14</v>
      </c>
      <c r="BR120" s="38">
        <v>3908.15</v>
      </c>
      <c r="BS120" s="37">
        <f t="shared" si="53"/>
        <v>-1.0000000000218279E-2</v>
      </c>
      <c r="BT120" s="46"/>
      <c r="BW120" s="31">
        <f t="shared" si="54"/>
        <v>120922</v>
      </c>
      <c r="BX120" s="31">
        <f t="shared" si="55"/>
        <v>60461</v>
      </c>
    </row>
    <row r="121" spans="1:76" x14ac:dyDescent="0.3">
      <c r="A121" s="47" t="s">
        <v>522</v>
      </c>
      <c r="B121" s="16" t="s">
        <v>523</v>
      </c>
      <c r="C121" s="39" t="s">
        <v>524</v>
      </c>
      <c r="D121" s="29">
        <v>46272.208518518513</v>
      </c>
      <c r="E121" s="29">
        <v>46446.208518518513</v>
      </c>
      <c r="F121" s="16" t="s">
        <v>217</v>
      </c>
      <c r="G121" s="16" t="s">
        <v>123</v>
      </c>
      <c r="H121" s="16" t="s">
        <v>43</v>
      </c>
      <c r="I121" s="16" t="s">
        <v>140</v>
      </c>
      <c r="J121" s="30" t="s">
        <v>125</v>
      </c>
      <c r="K121" s="16" t="s">
        <v>126</v>
      </c>
      <c r="L121" s="16">
        <f t="shared" si="56"/>
        <v>31.94</v>
      </c>
      <c r="M121" s="40">
        <v>4000000</v>
      </c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E121" s="31"/>
      <c r="AF121" s="32">
        <f t="shared" si="57"/>
        <v>4000000</v>
      </c>
      <c r="AI121" s="31">
        <v>480000</v>
      </c>
      <c r="AJ121" s="31"/>
      <c r="AK121" s="31">
        <v>20900</v>
      </c>
      <c r="AL121" s="31">
        <v>160000</v>
      </c>
      <c r="AM121" s="31"/>
      <c r="AN121" s="31"/>
      <c r="AO121" s="32">
        <f t="shared" si="58"/>
        <v>660900</v>
      </c>
      <c r="AR121" s="31">
        <v>333333</v>
      </c>
      <c r="AS121" s="31">
        <v>333333</v>
      </c>
      <c r="AT121" s="31">
        <v>2667</v>
      </c>
      <c r="AU121" s="32">
        <f t="shared" si="59"/>
        <v>669333</v>
      </c>
      <c r="AV121" s="41">
        <f t="shared" si="48"/>
        <v>1390694</v>
      </c>
      <c r="AX121" s="31">
        <v>0</v>
      </c>
      <c r="AY121" s="31">
        <v>0</v>
      </c>
      <c r="AZ121" s="31">
        <v>77500</v>
      </c>
      <c r="BA121" s="20">
        <v>0</v>
      </c>
      <c r="BB121" s="31">
        <v>0</v>
      </c>
      <c r="BC121" s="31">
        <f t="shared" si="49"/>
        <v>60461</v>
      </c>
      <c r="BD121" s="35">
        <f t="shared" si="60"/>
        <v>137961</v>
      </c>
      <c r="BF121" s="42">
        <f t="shared" si="50"/>
        <v>11.399999999999999</v>
      </c>
      <c r="BG121" s="42">
        <f t="shared" si="51"/>
        <v>7.235333851573742</v>
      </c>
      <c r="BH121" s="31">
        <f t="shared" si="61"/>
        <v>5490066.7759999996</v>
      </c>
      <c r="BI121" s="31">
        <f t="shared" si="52"/>
        <v>181383</v>
      </c>
      <c r="BJ121" s="31">
        <f t="shared" si="62"/>
        <v>21872.776000000002</v>
      </c>
      <c r="BK121" s="31">
        <f t="shared" si="63"/>
        <v>34462.769999999997</v>
      </c>
      <c r="BL121" s="31">
        <f t="shared" si="64"/>
        <v>5705912.5459999992</v>
      </c>
      <c r="BM121" s="36">
        <v>3023.05</v>
      </c>
      <c r="BN121" s="37">
        <f t="shared" si="65"/>
        <v>1816.07</v>
      </c>
      <c r="BO121" s="37">
        <f t="shared" si="66"/>
        <v>60</v>
      </c>
      <c r="BP121" s="37">
        <f t="shared" si="67"/>
        <v>11.4</v>
      </c>
      <c r="BQ121" s="37">
        <f t="shared" si="68"/>
        <v>1887.47</v>
      </c>
      <c r="BR121" s="38">
        <v>1887.49</v>
      </c>
      <c r="BS121" s="37">
        <f t="shared" si="53"/>
        <v>-1.999999999998181E-2</v>
      </c>
      <c r="BT121" s="46"/>
      <c r="BW121" s="31">
        <f t="shared" si="54"/>
        <v>120922</v>
      </c>
      <c r="BX121" s="31">
        <f t="shared" si="55"/>
        <v>60461</v>
      </c>
    </row>
    <row r="122" spans="1:76" x14ac:dyDescent="0.3">
      <c r="A122" s="47" t="s">
        <v>525</v>
      </c>
      <c r="B122" s="16" t="s">
        <v>526</v>
      </c>
      <c r="C122" s="39" t="s">
        <v>527</v>
      </c>
      <c r="D122" s="29">
        <v>46224.208518518513</v>
      </c>
      <c r="E122" s="29"/>
      <c r="F122" s="16" t="s">
        <v>122</v>
      </c>
      <c r="G122" s="16" t="s">
        <v>123</v>
      </c>
      <c r="H122" s="16" t="s">
        <v>43</v>
      </c>
      <c r="I122" s="16" t="s">
        <v>140</v>
      </c>
      <c r="J122" s="30" t="s">
        <v>125</v>
      </c>
      <c r="K122" s="16" t="s">
        <v>126</v>
      </c>
      <c r="L122" s="16">
        <f t="shared" si="56"/>
        <v>31.94</v>
      </c>
      <c r="M122" s="31">
        <v>4000000</v>
      </c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E122" s="31"/>
      <c r="AF122" s="32">
        <f t="shared" si="57"/>
        <v>4000000</v>
      </c>
      <c r="AI122" s="31">
        <v>480000</v>
      </c>
      <c r="AJ122" s="31"/>
      <c r="AK122" s="31">
        <v>20900</v>
      </c>
      <c r="AL122" s="31">
        <v>160000</v>
      </c>
      <c r="AM122" s="31"/>
      <c r="AN122" s="31"/>
      <c r="AO122" s="32">
        <f t="shared" si="58"/>
        <v>660900</v>
      </c>
      <c r="AR122" s="31">
        <v>333334</v>
      </c>
      <c r="AS122" s="31">
        <v>333334</v>
      </c>
      <c r="AT122" s="31">
        <v>12222</v>
      </c>
      <c r="AU122" s="32">
        <f t="shared" si="59"/>
        <v>678890</v>
      </c>
      <c r="AV122" s="41">
        <f t="shared" si="48"/>
        <v>1400251</v>
      </c>
      <c r="AX122" s="31">
        <v>0</v>
      </c>
      <c r="AY122" s="31">
        <v>0</v>
      </c>
      <c r="AZ122" s="31">
        <v>0</v>
      </c>
      <c r="BA122" s="20">
        <v>0</v>
      </c>
      <c r="BB122" s="31">
        <v>0</v>
      </c>
      <c r="BC122" s="31">
        <f t="shared" si="49"/>
        <v>60461</v>
      </c>
      <c r="BD122" s="35">
        <f t="shared" si="60"/>
        <v>60461</v>
      </c>
      <c r="BF122" s="42">
        <f t="shared" si="50"/>
        <v>11.399999999999999</v>
      </c>
      <c r="BG122" s="42">
        <f t="shared" si="51"/>
        <v>7.1454339160781331</v>
      </c>
      <c r="BH122" s="31">
        <f t="shared" si="61"/>
        <v>5421852.0039999997</v>
      </c>
      <c r="BI122" s="31">
        <f t="shared" si="52"/>
        <v>181383</v>
      </c>
      <c r="BJ122" s="31">
        <f t="shared" si="62"/>
        <v>21601.004000000001</v>
      </c>
      <c r="BK122" s="31">
        <f t="shared" si="63"/>
        <v>34462.769999999997</v>
      </c>
      <c r="BL122" s="31">
        <f t="shared" si="64"/>
        <v>5637697.7739999993</v>
      </c>
      <c r="BM122" s="36">
        <v>3023.05</v>
      </c>
      <c r="BN122" s="37">
        <f t="shared" si="65"/>
        <v>1793.5</v>
      </c>
      <c r="BO122" s="37">
        <f t="shared" si="66"/>
        <v>60</v>
      </c>
      <c r="BP122" s="37">
        <f t="shared" si="67"/>
        <v>11.4</v>
      </c>
      <c r="BQ122" s="37">
        <f t="shared" si="68"/>
        <v>1864.9</v>
      </c>
      <c r="BR122" s="38">
        <v>1864.92</v>
      </c>
      <c r="BS122" s="37">
        <f t="shared" si="53"/>
        <v>-1.999999999998181E-2</v>
      </c>
      <c r="BT122" s="46"/>
      <c r="BW122" s="31">
        <f t="shared" si="54"/>
        <v>120922</v>
      </c>
      <c r="BX122" s="31">
        <f t="shared" si="55"/>
        <v>60461</v>
      </c>
    </row>
    <row r="123" spans="1:76" x14ac:dyDescent="0.3">
      <c r="A123" s="47" t="s">
        <v>528</v>
      </c>
      <c r="B123" s="16" t="s">
        <v>529</v>
      </c>
      <c r="C123" s="39" t="s">
        <v>530</v>
      </c>
      <c r="D123" s="29">
        <v>46119.208518518513</v>
      </c>
      <c r="E123" s="29"/>
      <c r="F123" s="16" t="s">
        <v>122</v>
      </c>
      <c r="G123" s="16" t="s">
        <v>123</v>
      </c>
      <c r="H123" s="16" t="s">
        <v>47</v>
      </c>
      <c r="I123" s="16" t="s">
        <v>268</v>
      </c>
      <c r="J123" s="30" t="s">
        <v>125</v>
      </c>
      <c r="K123" s="16" t="s">
        <v>126</v>
      </c>
      <c r="L123" s="16">
        <f t="shared" si="56"/>
        <v>31.94</v>
      </c>
      <c r="M123" s="40">
        <v>4965125</v>
      </c>
      <c r="N123" s="31"/>
      <c r="O123" s="31"/>
      <c r="P123" s="31"/>
      <c r="Q123" s="31"/>
      <c r="R123" s="31"/>
      <c r="S123" s="31"/>
      <c r="T123" s="31"/>
      <c r="U123" s="31"/>
      <c r="V123" s="31">
        <v>926388</v>
      </c>
      <c r="W123" s="31"/>
      <c r="X123" s="31"/>
      <c r="Y123" s="31"/>
      <c r="Z123" s="31"/>
      <c r="AA123" s="31"/>
      <c r="AB123" s="31"/>
      <c r="AC123" s="31"/>
      <c r="AE123" s="31"/>
      <c r="AF123" s="32">
        <f t="shared" si="57"/>
        <v>5891513</v>
      </c>
      <c r="AI123" s="31">
        <v>595895</v>
      </c>
      <c r="AJ123" s="31"/>
      <c r="AK123" s="31">
        <v>121000</v>
      </c>
      <c r="AL123" s="31">
        <v>198700</v>
      </c>
      <c r="AM123" s="31"/>
      <c r="AN123" s="31"/>
      <c r="AO123" s="32">
        <f t="shared" si="58"/>
        <v>915595</v>
      </c>
      <c r="AR123" s="31">
        <v>413760</v>
      </c>
      <c r="AS123" s="31">
        <v>413760</v>
      </c>
      <c r="AT123" s="31">
        <v>43859</v>
      </c>
      <c r="AU123" s="32">
        <f t="shared" si="59"/>
        <v>871379</v>
      </c>
      <c r="AV123" s="34">
        <f t="shared" si="48"/>
        <v>1847435</v>
      </c>
      <c r="AX123" s="31">
        <v>0</v>
      </c>
      <c r="AY123" s="31">
        <v>466233</v>
      </c>
      <c r="AZ123" s="31">
        <v>0</v>
      </c>
      <c r="BA123" s="20">
        <v>0</v>
      </c>
      <c r="BB123" s="31">
        <v>0</v>
      </c>
      <c r="BC123" s="31">
        <f t="shared" si="49"/>
        <v>60461</v>
      </c>
      <c r="BD123" s="35">
        <f t="shared" si="60"/>
        <v>526694</v>
      </c>
      <c r="BF123" s="42">
        <f t="shared" si="50"/>
        <v>11.399999999999999</v>
      </c>
      <c r="BG123" s="42">
        <f t="shared" si="51"/>
        <v>10.856824729991233</v>
      </c>
      <c r="BH123" s="31">
        <f t="shared" si="61"/>
        <v>8238001.7240000004</v>
      </c>
      <c r="BI123" s="31">
        <f t="shared" si="52"/>
        <v>181383</v>
      </c>
      <c r="BJ123" s="31">
        <f t="shared" si="62"/>
        <v>32820.724000000002</v>
      </c>
      <c r="BK123" s="31">
        <f t="shared" si="63"/>
        <v>34462.769999999997</v>
      </c>
      <c r="BL123" s="31">
        <f t="shared" si="64"/>
        <v>8453847.493999999</v>
      </c>
      <c r="BM123" s="36">
        <v>3023.05</v>
      </c>
      <c r="BN123" s="37">
        <f t="shared" si="65"/>
        <v>2725.06</v>
      </c>
      <c r="BO123" s="37">
        <f t="shared" si="66"/>
        <v>60</v>
      </c>
      <c r="BP123" s="37">
        <f t="shared" si="67"/>
        <v>11.4</v>
      </c>
      <c r="BQ123" s="37">
        <f t="shared" si="68"/>
        <v>2796.46</v>
      </c>
      <c r="BR123" s="38">
        <v>2796.49</v>
      </c>
      <c r="BS123" s="37">
        <f t="shared" si="53"/>
        <v>-2.9999999999745341E-2</v>
      </c>
      <c r="BT123" s="46"/>
      <c r="BW123" s="31">
        <f t="shared" si="54"/>
        <v>120922</v>
      </c>
      <c r="BX123" s="31">
        <f t="shared" si="55"/>
        <v>60461</v>
      </c>
    </row>
    <row r="124" spans="1:76" x14ac:dyDescent="0.3">
      <c r="A124" s="47" t="s">
        <v>531</v>
      </c>
      <c r="B124" s="16" t="s">
        <v>532</v>
      </c>
      <c r="C124" s="39" t="s">
        <v>533</v>
      </c>
      <c r="D124" s="29">
        <v>46209.208518518513</v>
      </c>
      <c r="E124" s="29"/>
      <c r="F124" s="16" t="s">
        <v>122</v>
      </c>
      <c r="G124" s="16" t="s">
        <v>123</v>
      </c>
      <c r="H124" s="16" t="s">
        <v>43</v>
      </c>
      <c r="I124" s="16" t="s">
        <v>140</v>
      </c>
      <c r="J124" s="30" t="s">
        <v>125</v>
      </c>
      <c r="K124" s="16" t="s">
        <v>126</v>
      </c>
      <c r="L124" s="16">
        <f t="shared" si="56"/>
        <v>31.94</v>
      </c>
      <c r="M124" s="31">
        <v>3479000</v>
      </c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40">
        <v>249095</v>
      </c>
      <c r="AA124" s="31"/>
      <c r="AB124" s="31"/>
      <c r="AC124" s="31"/>
      <c r="AE124" s="31"/>
      <c r="AF124" s="32">
        <f t="shared" si="57"/>
        <v>3728095</v>
      </c>
      <c r="AI124" s="31">
        <v>417540</v>
      </c>
      <c r="AJ124" s="31"/>
      <c r="AK124" s="31">
        <v>18200</v>
      </c>
      <c r="AL124" s="31">
        <v>139200</v>
      </c>
      <c r="AM124" s="31"/>
      <c r="AN124" s="31"/>
      <c r="AO124" s="32">
        <f t="shared" si="58"/>
        <v>574940</v>
      </c>
      <c r="AR124" s="31">
        <v>310675</v>
      </c>
      <c r="AS124" s="31">
        <v>310675</v>
      </c>
      <c r="AT124" s="31">
        <v>14498</v>
      </c>
      <c r="AU124" s="32">
        <f t="shared" si="59"/>
        <v>635848</v>
      </c>
      <c r="AV124" s="41">
        <f t="shared" si="48"/>
        <v>1271249</v>
      </c>
      <c r="AX124" s="31">
        <v>149900</v>
      </c>
      <c r="AY124" s="31">
        <v>0</v>
      </c>
      <c r="AZ124" s="31">
        <v>0</v>
      </c>
      <c r="BA124" s="20">
        <v>0</v>
      </c>
      <c r="BB124" s="31">
        <v>0</v>
      </c>
      <c r="BC124" s="31">
        <f t="shared" si="49"/>
        <v>60461</v>
      </c>
      <c r="BD124" s="35">
        <f t="shared" si="60"/>
        <v>210361</v>
      </c>
      <c r="BF124" s="42">
        <f t="shared" si="50"/>
        <v>11.399999999999999</v>
      </c>
      <c r="BG124" s="42">
        <f t="shared" si="51"/>
        <v>6.8133097368551621</v>
      </c>
      <c r="BH124" s="31">
        <f t="shared" si="61"/>
        <v>5169840.9759999998</v>
      </c>
      <c r="BI124" s="31">
        <f t="shared" si="52"/>
        <v>181383</v>
      </c>
      <c r="BJ124" s="31">
        <f t="shared" si="62"/>
        <v>20596.975999999999</v>
      </c>
      <c r="BK124" s="31">
        <f t="shared" si="63"/>
        <v>34462.769999999997</v>
      </c>
      <c r="BL124" s="31">
        <f t="shared" si="64"/>
        <v>5385686.7459999993</v>
      </c>
      <c r="BM124" s="36">
        <v>3023.05</v>
      </c>
      <c r="BN124" s="37">
        <f t="shared" si="65"/>
        <v>1710.14</v>
      </c>
      <c r="BO124" s="37">
        <f t="shared" si="66"/>
        <v>60</v>
      </c>
      <c r="BP124" s="37">
        <f t="shared" si="67"/>
        <v>11.4</v>
      </c>
      <c r="BQ124" s="37">
        <f t="shared" si="68"/>
        <v>1781.5400000000002</v>
      </c>
      <c r="BR124" s="38">
        <v>1781.55</v>
      </c>
      <c r="BS124" s="37">
        <f t="shared" si="53"/>
        <v>-9.9999999997635314E-3</v>
      </c>
      <c r="BT124" s="46"/>
      <c r="BW124" s="31">
        <f t="shared" si="54"/>
        <v>120922</v>
      </c>
      <c r="BX124" s="31">
        <f t="shared" si="55"/>
        <v>60461</v>
      </c>
    </row>
    <row r="125" spans="1:76" x14ac:dyDescent="0.3">
      <c r="A125" s="47" t="s">
        <v>534</v>
      </c>
      <c r="B125" s="16" t="s">
        <v>535</v>
      </c>
      <c r="C125" s="39" t="s">
        <v>536</v>
      </c>
      <c r="D125" s="29">
        <v>45992.208518518513</v>
      </c>
      <c r="E125" s="29"/>
      <c r="F125" s="16" t="s">
        <v>122</v>
      </c>
      <c r="G125" s="16" t="s">
        <v>123</v>
      </c>
      <c r="H125" s="16" t="s">
        <v>15</v>
      </c>
      <c r="I125" s="16" t="s">
        <v>148</v>
      </c>
      <c r="J125" s="30" t="s">
        <v>125</v>
      </c>
      <c r="K125" s="16" t="s">
        <v>126</v>
      </c>
      <c r="L125" s="16">
        <f t="shared" si="56"/>
        <v>31.94</v>
      </c>
      <c r="M125" s="31">
        <v>6500000</v>
      </c>
      <c r="N125" s="31"/>
      <c r="O125" s="31"/>
      <c r="P125" s="31"/>
      <c r="Q125" s="31"/>
      <c r="R125" s="40">
        <v>1993333</v>
      </c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E125" s="31"/>
      <c r="AF125" s="32">
        <f t="shared" si="57"/>
        <v>8493333</v>
      </c>
      <c r="AI125" s="31">
        <v>1019267</v>
      </c>
      <c r="AJ125" s="31"/>
      <c r="AK125" s="31">
        <v>44400</v>
      </c>
      <c r="AL125" s="31">
        <v>339800</v>
      </c>
      <c r="AM125" s="31"/>
      <c r="AN125" s="31"/>
      <c r="AO125" s="32">
        <f t="shared" si="58"/>
        <v>1403467</v>
      </c>
      <c r="AR125" s="31">
        <v>707778</v>
      </c>
      <c r="AS125" s="31">
        <v>707778</v>
      </c>
      <c r="AT125" s="31">
        <v>111309</v>
      </c>
      <c r="AU125" s="32">
        <f t="shared" si="59"/>
        <v>1526865</v>
      </c>
      <c r="AV125" s="41">
        <f t="shared" si="48"/>
        <v>2990793</v>
      </c>
      <c r="AX125" s="31">
        <v>0</v>
      </c>
      <c r="AY125" s="31">
        <v>0</v>
      </c>
      <c r="AZ125" s="31">
        <v>0</v>
      </c>
      <c r="BA125" s="20">
        <v>0</v>
      </c>
      <c r="BB125" s="31">
        <v>0</v>
      </c>
      <c r="BC125" s="31">
        <f t="shared" si="49"/>
        <v>60461</v>
      </c>
      <c r="BD125" s="35">
        <f t="shared" si="60"/>
        <v>60461</v>
      </c>
      <c r="BF125" s="42">
        <f t="shared" si="50"/>
        <v>11.399999999999999</v>
      </c>
      <c r="BG125" s="42">
        <f t="shared" si="51"/>
        <v>15.195416549511254</v>
      </c>
      <c r="BH125" s="31">
        <f t="shared" si="61"/>
        <v>11530062.504000001</v>
      </c>
      <c r="BI125" s="31">
        <f t="shared" si="52"/>
        <v>181383</v>
      </c>
      <c r="BJ125" s="31">
        <f t="shared" si="62"/>
        <v>45936.504000000001</v>
      </c>
      <c r="BK125" s="31">
        <f t="shared" si="63"/>
        <v>34462.769999999997</v>
      </c>
      <c r="BL125" s="31">
        <f t="shared" si="64"/>
        <v>11745908.274</v>
      </c>
      <c r="BM125" s="36">
        <v>3023.05</v>
      </c>
      <c r="BN125" s="37">
        <f t="shared" si="65"/>
        <v>3814.05</v>
      </c>
      <c r="BO125" s="37">
        <f t="shared" si="66"/>
        <v>60</v>
      </c>
      <c r="BP125" s="37">
        <f t="shared" si="67"/>
        <v>11.4</v>
      </c>
      <c r="BQ125" s="37">
        <f t="shared" si="68"/>
        <v>3885.4500000000003</v>
      </c>
      <c r="BR125" s="38">
        <v>3885.47</v>
      </c>
      <c r="BS125" s="37">
        <f t="shared" si="53"/>
        <v>-1.9999999999527063E-2</v>
      </c>
      <c r="BT125" s="46"/>
      <c r="BW125" s="31">
        <f t="shared" si="54"/>
        <v>120922</v>
      </c>
      <c r="BX125" s="31">
        <f t="shared" si="55"/>
        <v>60461</v>
      </c>
    </row>
    <row r="126" spans="1:76" x14ac:dyDescent="0.3">
      <c r="A126" s="47" t="s">
        <v>537</v>
      </c>
      <c r="B126" s="16" t="s">
        <v>538</v>
      </c>
      <c r="C126" s="27" t="s">
        <v>539</v>
      </c>
      <c r="D126" s="29">
        <v>44774.208518518513</v>
      </c>
      <c r="E126" s="29"/>
      <c r="F126" s="16" t="s">
        <v>122</v>
      </c>
      <c r="G126" s="16" t="s">
        <v>123</v>
      </c>
      <c r="H126" s="16" t="s">
        <v>19</v>
      </c>
      <c r="I126" s="16" t="s">
        <v>540</v>
      </c>
      <c r="J126" s="30" t="s">
        <v>125</v>
      </c>
      <c r="K126" s="16" t="s">
        <v>126</v>
      </c>
      <c r="L126" s="16">
        <f t="shared" si="56"/>
        <v>14.44</v>
      </c>
      <c r="M126" s="31"/>
      <c r="N126" s="31"/>
      <c r="O126" s="40">
        <v>16318963</v>
      </c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E126" s="31"/>
      <c r="AF126" s="32">
        <f t="shared" si="57"/>
        <v>16318963</v>
      </c>
      <c r="AI126" s="31">
        <v>1054515</v>
      </c>
      <c r="AJ126" s="31"/>
      <c r="AK126" s="31"/>
      <c r="AL126" s="31"/>
      <c r="AM126" s="31"/>
      <c r="AN126" s="31"/>
      <c r="AO126" s="32">
        <f t="shared" si="58"/>
        <v>1054515</v>
      </c>
      <c r="AR126" s="31"/>
      <c r="AS126" s="31"/>
      <c r="AT126" s="31"/>
      <c r="AU126" s="32">
        <f t="shared" si="59"/>
        <v>0</v>
      </c>
      <c r="AV126" s="41">
        <f t="shared" si="48"/>
        <v>1114976</v>
      </c>
      <c r="AX126" s="31">
        <v>0</v>
      </c>
      <c r="AY126" s="31">
        <v>0</v>
      </c>
      <c r="AZ126" s="31">
        <v>0</v>
      </c>
      <c r="BA126" s="20">
        <v>0</v>
      </c>
      <c r="BB126" s="31">
        <v>0</v>
      </c>
      <c r="BC126" s="31">
        <f t="shared" si="49"/>
        <v>60461</v>
      </c>
      <c r="BD126" s="35">
        <f t="shared" si="60"/>
        <v>60461</v>
      </c>
      <c r="BF126" s="28">
        <f t="shared" si="50"/>
        <v>11.399999999999999</v>
      </c>
      <c r="BG126" s="28">
        <f t="shared" si="51"/>
        <v>23.068012768561555</v>
      </c>
      <c r="BH126" s="31">
        <f t="shared" si="61"/>
        <v>17503674.756000001</v>
      </c>
      <c r="BI126" s="31">
        <f t="shared" si="52"/>
        <v>181383</v>
      </c>
      <c r="BJ126" s="40">
        <f t="shared" si="62"/>
        <v>69735.756000000008</v>
      </c>
      <c r="BK126" s="40">
        <f t="shared" si="63"/>
        <v>34462.769999999997</v>
      </c>
      <c r="BL126" s="31">
        <f t="shared" si="64"/>
        <v>17719520.526000001</v>
      </c>
      <c r="BM126" s="36">
        <v>3023.05</v>
      </c>
      <c r="BN126" s="37">
        <f t="shared" si="65"/>
        <v>5790.07</v>
      </c>
      <c r="BO126" s="37">
        <f t="shared" si="66"/>
        <v>60</v>
      </c>
      <c r="BP126" s="37">
        <f t="shared" si="67"/>
        <v>11.4</v>
      </c>
      <c r="BQ126" s="37">
        <f t="shared" si="68"/>
        <v>5861.4699999999993</v>
      </c>
      <c r="BR126" s="38">
        <v>5861.49</v>
      </c>
      <c r="BS126" s="37">
        <f t="shared" si="53"/>
        <v>-2.0000000000436557E-2</v>
      </c>
      <c r="BT126" s="46"/>
      <c r="BW126" s="31">
        <f t="shared" si="54"/>
        <v>120922</v>
      </c>
      <c r="BX126" s="31">
        <f t="shared" si="55"/>
        <v>60461</v>
      </c>
    </row>
    <row r="127" spans="1:76" x14ac:dyDescent="0.3">
      <c r="A127" s="47" t="s">
        <v>541</v>
      </c>
      <c r="B127" s="16" t="s">
        <v>542</v>
      </c>
      <c r="C127" s="27" t="s">
        <v>543</v>
      </c>
      <c r="D127" s="29">
        <v>45889.208518518513</v>
      </c>
      <c r="E127" s="29"/>
      <c r="F127" s="16" t="s">
        <v>122</v>
      </c>
      <c r="G127" s="16" t="s">
        <v>123</v>
      </c>
      <c r="H127" s="16" t="s">
        <v>25</v>
      </c>
      <c r="I127" s="16" t="s">
        <v>544</v>
      </c>
      <c r="J127" s="30" t="s">
        <v>125</v>
      </c>
      <c r="K127" s="16" t="s">
        <v>126</v>
      </c>
      <c r="L127" s="16">
        <f t="shared" si="56"/>
        <v>31.94</v>
      </c>
      <c r="M127" s="31">
        <v>3926700</v>
      </c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E127" s="31"/>
      <c r="AF127" s="32">
        <f t="shared" si="57"/>
        <v>3926700</v>
      </c>
      <c r="AI127" s="31">
        <v>471232</v>
      </c>
      <c r="AJ127" s="31"/>
      <c r="AK127" s="31">
        <v>95700</v>
      </c>
      <c r="AL127" s="31">
        <v>157100</v>
      </c>
      <c r="AM127" s="31"/>
      <c r="AN127" s="31"/>
      <c r="AO127" s="32">
        <f t="shared" si="58"/>
        <v>724032</v>
      </c>
      <c r="AR127" s="31">
        <v>327225</v>
      </c>
      <c r="AS127" s="31">
        <v>327225</v>
      </c>
      <c r="AT127" s="31">
        <v>55628</v>
      </c>
      <c r="AU127" s="32">
        <f t="shared" si="59"/>
        <v>710078</v>
      </c>
      <c r="AV127" s="41">
        <f t="shared" si="48"/>
        <v>1494571</v>
      </c>
      <c r="AX127" s="31">
        <v>0</v>
      </c>
      <c r="AY127" s="31">
        <v>0</v>
      </c>
      <c r="AZ127" s="31">
        <v>0</v>
      </c>
      <c r="BA127" s="20">
        <v>0</v>
      </c>
      <c r="BB127" s="31">
        <v>0</v>
      </c>
      <c r="BC127" s="31">
        <f t="shared" si="49"/>
        <v>60461</v>
      </c>
      <c r="BD127" s="35">
        <f t="shared" si="60"/>
        <v>60461</v>
      </c>
      <c r="BF127" s="28">
        <f t="shared" si="50"/>
        <v>11.399999999999999</v>
      </c>
      <c r="BG127" s="28">
        <f t="shared" si="51"/>
        <v>7.1732468864226515</v>
      </c>
      <c r="BH127" s="31">
        <f t="shared" si="61"/>
        <v>5442956.0839999998</v>
      </c>
      <c r="BI127" s="31">
        <f t="shared" si="52"/>
        <v>181383</v>
      </c>
      <c r="BJ127" s="40">
        <f t="shared" si="62"/>
        <v>21685.083999999999</v>
      </c>
      <c r="BK127" s="40">
        <f t="shared" si="63"/>
        <v>34462.769999999997</v>
      </c>
      <c r="BL127" s="31">
        <f t="shared" si="64"/>
        <v>5658801.8539999994</v>
      </c>
      <c r="BM127" s="36">
        <v>3023.05</v>
      </c>
      <c r="BN127" s="37">
        <f t="shared" si="65"/>
        <v>1800.48</v>
      </c>
      <c r="BO127" s="37">
        <f t="shared" si="66"/>
        <v>60</v>
      </c>
      <c r="BP127" s="37">
        <f t="shared" si="67"/>
        <v>11.4</v>
      </c>
      <c r="BQ127" s="37">
        <f t="shared" si="68"/>
        <v>1871.88</v>
      </c>
      <c r="BR127" s="38">
        <v>1871.9</v>
      </c>
      <c r="BS127" s="37">
        <f t="shared" si="53"/>
        <v>-1.999999999998181E-2</v>
      </c>
      <c r="BT127" s="46"/>
      <c r="BW127" s="31">
        <f t="shared" si="54"/>
        <v>120922</v>
      </c>
      <c r="BX127" s="31">
        <f t="shared" si="55"/>
        <v>60461</v>
      </c>
    </row>
    <row r="128" spans="1:76" x14ac:dyDescent="0.3">
      <c r="A128" s="47" t="s">
        <v>545</v>
      </c>
      <c r="B128" s="16" t="s">
        <v>546</v>
      </c>
      <c r="C128" s="27" t="s">
        <v>547</v>
      </c>
      <c r="D128" s="29">
        <v>46119.208518518513</v>
      </c>
      <c r="E128" s="29"/>
      <c r="F128" s="16" t="s">
        <v>122</v>
      </c>
      <c r="G128" s="16" t="s">
        <v>123</v>
      </c>
      <c r="H128" s="16" t="s">
        <v>9</v>
      </c>
      <c r="I128" s="16" t="s">
        <v>171</v>
      </c>
      <c r="J128" s="30" t="s">
        <v>125</v>
      </c>
      <c r="K128" s="16" t="s">
        <v>126</v>
      </c>
      <c r="L128" s="16">
        <f t="shared" si="56"/>
        <v>31.94</v>
      </c>
      <c r="M128" s="31">
        <v>3752984</v>
      </c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E128" s="31"/>
      <c r="AF128" s="32">
        <f t="shared" si="57"/>
        <v>3752984</v>
      </c>
      <c r="AI128" s="31">
        <v>450381</v>
      </c>
      <c r="AJ128" s="31"/>
      <c r="AK128" s="31">
        <v>91500</v>
      </c>
      <c r="AL128" s="31">
        <v>150200</v>
      </c>
      <c r="AM128" s="31"/>
      <c r="AN128" s="31"/>
      <c r="AO128" s="32">
        <f t="shared" si="58"/>
        <v>692081</v>
      </c>
      <c r="AR128" s="31">
        <v>312749</v>
      </c>
      <c r="AS128" s="31">
        <v>312749</v>
      </c>
      <c r="AT128" s="31">
        <v>34170</v>
      </c>
      <c r="AU128" s="32">
        <f t="shared" si="59"/>
        <v>659668</v>
      </c>
      <c r="AV128" s="41">
        <f t="shared" si="48"/>
        <v>1412210</v>
      </c>
      <c r="AX128" s="31">
        <v>0</v>
      </c>
      <c r="AY128" s="31">
        <v>0</v>
      </c>
      <c r="AZ128" s="31">
        <v>0</v>
      </c>
      <c r="BA128" s="20">
        <v>0</v>
      </c>
      <c r="BB128" s="31">
        <v>0</v>
      </c>
      <c r="BC128" s="31">
        <f t="shared" si="49"/>
        <v>60461</v>
      </c>
      <c r="BD128" s="35">
        <f t="shared" si="60"/>
        <v>60461</v>
      </c>
      <c r="BF128" s="28">
        <f t="shared" si="50"/>
        <v>11.399999999999999</v>
      </c>
      <c r="BG128" s="28">
        <f t="shared" si="51"/>
        <v>6.8344142505085923</v>
      </c>
      <c r="BH128" s="31">
        <f t="shared" si="61"/>
        <v>5185854.7759999996</v>
      </c>
      <c r="BI128" s="31">
        <f t="shared" si="52"/>
        <v>181383</v>
      </c>
      <c r="BJ128" s="40">
        <f t="shared" si="62"/>
        <v>20660.776000000002</v>
      </c>
      <c r="BK128" s="40">
        <f t="shared" si="63"/>
        <v>34462.769999999997</v>
      </c>
      <c r="BL128" s="31">
        <f t="shared" si="64"/>
        <v>5401700.5459999992</v>
      </c>
      <c r="BM128" s="36">
        <v>3023.05</v>
      </c>
      <c r="BN128" s="37">
        <f t="shared" si="65"/>
        <v>1715.44</v>
      </c>
      <c r="BO128" s="37">
        <f t="shared" si="66"/>
        <v>60</v>
      </c>
      <c r="BP128" s="37">
        <f t="shared" si="67"/>
        <v>11.4</v>
      </c>
      <c r="BQ128" s="37">
        <f t="shared" si="68"/>
        <v>1786.8400000000001</v>
      </c>
      <c r="BR128" s="38">
        <v>1786.84</v>
      </c>
      <c r="BS128" s="37">
        <f t="shared" si="53"/>
        <v>0</v>
      </c>
      <c r="BT128" s="46"/>
      <c r="BW128" s="31">
        <f t="shared" si="54"/>
        <v>120922</v>
      </c>
      <c r="BX128" s="31">
        <f t="shared" si="55"/>
        <v>60461</v>
      </c>
    </row>
    <row r="129" spans="1:76" x14ac:dyDescent="0.3">
      <c r="A129" s="47" t="s">
        <v>548</v>
      </c>
      <c r="B129" s="16" t="s">
        <v>549</v>
      </c>
      <c r="C129" s="27" t="s">
        <v>550</v>
      </c>
      <c r="D129" s="29">
        <v>46000.208518518513</v>
      </c>
      <c r="E129" s="29"/>
      <c r="F129" s="16" t="s">
        <v>122</v>
      </c>
      <c r="G129" s="16" t="s">
        <v>123</v>
      </c>
      <c r="H129" s="16" t="s">
        <v>9</v>
      </c>
      <c r="I129" s="16" t="s">
        <v>171</v>
      </c>
      <c r="J129" s="30" t="s">
        <v>125</v>
      </c>
      <c r="K129" s="16" t="s">
        <v>126</v>
      </c>
      <c r="L129" s="16">
        <f t="shared" si="56"/>
        <v>31.94</v>
      </c>
      <c r="M129" s="31">
        <v>3752984</v>
      </c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E129" s="31"/>
      <c r="AF129" s="32">
        <f t="shared" si="57"/>
        <v>3752984</v>
      </c>
      <c r="AI129" s="31"/>
      <c r="AJ129" s="31"/>
      <c r="AK129" s="31">
        <v>91500</v>
      </c>
      <c r="AL129" s="31">
        <v>150200</v>
      </c>
      <c r="AM129" s="31"/>
      <c r="AN129" s="31"/>
      <c r="AO129" s="32">
        <f t="shared" si="58"/>
        <v>241700</v>
      </c>
      <c r="AR129" s="31">
        <v>312749</v>
      </c>
      <c r="AS129" s="31">
        <v>312749</v>
      </c>
      <c r="AT129" s="31">
        <v>53167</v>
      </c>
      <c r="AU129" s="32">
        <f t="shared" si="59"/>
        <v>678665</v>
      </c>
      <c r="AV129" s="41">
        <f t="shared" si="48"/>
        <v>980826</v>
      </c>
      <c r="AX129" s="31">
        <v>0</v>
      </c>
      <c r="AY129" s="31">
        <v>0</v>
      </c>
      <c r="AZ129" s="31">
        <v>0</v>
      </c>
      <c r="BA129" s="20">
        <v>0</v>
      </c>
      <c r="BB129" s="31">
        <v>0</v>
      </c>
      <c r="BC129" s="31">
        <f t="shared" si="49"/>
        <v>60461</v>
      </c>
      <c r="BD129" s="35">
        <f t="shared" si="60"/>
        <v>60461</v>
      </c>
      <c r="BF129" s="28">
        <f t="shared" si="50"/>
        <v>11.399999999999999</v>
      </c>
      <c r="BG129" s="28">
        <f t="shared" si="51"/>
        <v>6.2636211772878383</v>
      </c>
      <c r="BH129" s="31">
        <f t="shared" si="61"/>
        <v>4752745.24</v>
      </c>
      <c r="BI129" s="31">
        <f t="shared" si="52"/>
        <v>181383</v>
      </c>
      <c r="BJ129" s="40">
        <f t="shared" si="62"/>
        <v>18935.240000000002</v>
      </c>
      <c r="BK129" s="40">
        <f t="shared" si="63"/>
        <v>34462.769999999997</v>
      </c>
      <c r="BL129" s="31">
        <f t="shared" si="64"/>
        <v>4968591.01</v>
      </c>
      <c r="BM129" s="36">
        <v>3023.05</v>
      </c>
      <c r="BN129" s="37">
        <f t="shared" si="65"/>
        <v>1572.17</v>
      </c>
      <c r="BO129" s="37">
        <f t="shared" si="66"/>
        <v>60</v>
      </c>
      <c r="BP129" s="37">
        <f t="shared" si="67"/>
        <v>11.4</v>
      </c>
      <c r="BQ129" s="37">
        <f t="shared" si="68"/>
        <v>1643.5700000000002</v>
      </c>
      <c r="BR129" s="38">
        <v>1643.57</v>
      </c>
      <c r="BS129" s="37">
        <f t="shared" si="53"/>
        <v>0</v>
      </c>
      <c r="BT129" s="46"/>
      <c r="BW129" s="31">
        <f t="shared" si="54"/>
        <v>120922</v>
      </c>
      <c r="BX129" s="31">
        <f t="shared" si="55"/>
        <v>60461</v>
      </c>
    </row>
    <row r="130" spans="1:76" x14ac:dyDescent="0.3">
      <c r="A130" s="47" t="s">
        <v>551</v>
      </c>
      <c r="B130" s="16" t="s">
        <v>552</v>
      </c>
      <c r="C130" s="27" t="s">
        <v>553</v>
      </c>
      <c r="D130" s="29">
        <v>46259.208518518513</v>
      </c>
      <c r="E130" s="29"/>
      <c r="F130" s="16" t="s">
        <v>122</v>
      </c>
      <c r="G130" s="16" t="s">
        <v>123</v>
      </c>
      <c r="H130" s="16" t="s">
        <v>44</v>
      </c>
      <c r="I130" s="16" t="s">
        <v>135</v>
      </c>
      <c r="J130" s="30" t="s">
        <v>125</v>
      </c>
      <c r="K130" s="16" t="s">
        <v>126</v>
      </c>
      <c r="L130" s="16">
        <f t="shared" si="56"/>
        <v>31.94</v>
      </c>
      <c r="M130" s="31">
        <v>5000000</v>
      </c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E130" s="31"/>
      <c r="AF130" s="32">
        <f t="shared" si="57"/>
        <v>5000000</v>
      </c>
      <c r="AI130" s="31">
        <v>600000</v>
      </c>
      <c r="AJ130" s="31"/>
      <c r="AK130" s="31">
        <v>26100</v>
      </c>
      <c r="AL130" s="31">
        <v>200000</v>
      </c>
      <c r="AM130" s="31"/>
      <c r="AN130" s="31"/>
      <c r="AO130" s="32">
        <f t="shared" si="58"/>
        <v>826100</v>
      </c>
      <c r="AR130" s="31">
        <v>416667</v>
      </c>
      <c r="AS130" s="31">
        <v>416667</v>
      </c>
      <c r="AT130" s="31">
        <v>5833</v>
      </c>
      <c r="AU130" s="32">
        <f t="shared" si="59"/>
        <v>839167</v>
      </c>
      <c r="AV130" s="41">
        <f t="shared" si="48"/>
        <v>1725728</v>
      </c>
      <c r="AX130" s="31">
        <v>0</v>
      </c>
      <c r="AY130" s="31">
        <v>0</v>
      </c>
      <c r="AZ130" s="40">
        <v>117500</v>
      </c>
      <c r="BA130" s="20">
        <v>0</v>
      </c>
      <c r="BB130" s="31">
        <v>0</v>
      </c>
      <c r="BC130" s="31">
        <f t="shared" si="49"/>
        <v>60461</v>
      </c>
      <c r="BD130" s="35">
        <f t="shared" si="60"/>
        <v>177961</v>
      </c>
      <c r="BF130" s="28">
        <f t="shared" si="50"/>
        <v>11.399999999999999</v>
      </c>
      <c r="BG130" s="28">
        <f t="shared" si="51"/>
        <v>9.0547334645473931</v>
      </c>
      <c r="BH130" s="31">
        <f t="shared" si="61"/>
        <v>6870600.9119999995</v>
      </c>
      <c r="BI130" s="31">
        <f t="shared" si="52"/>
        <v>181383</v>
      </c>
      <c r="BJ130" s="40">
        <f t="shared" si="62"/>
        <v>27372.912</v>
      </c>
      <c r="BK130" s="40">
        <f t="shared" si="63"/>
        <v>34462.769999999997</v>
      </c>
      <c r="BL130" s="31">
        <f t="shared" si="64"/>
        <v>7086446.6819999991</v>
      </c>
      <c r="BM130" s="36">
        <v>3023.05</v>
      </c>
      <c r="BN130" s="37">
        <f t="shared" si="65"/>
        <v>2272.7399999999998</v>
      </c>
      <c r="BO130" s="37">
        <f t="shared" si="66"/>
        <v>60</v>
      </c>
      <c r="BP130" s="37">
        <f t="shared" si="67"/>
        <v>11.4</v>
      </c>
      <c r="BQ130" s="37">
        <f t="shared" si="68"/>
        <v>2344.14</v>
      </c>
      <c r="BR130" s="38">
        <v>2344.14</v>
      </c>
      <c r="BS130" s="37">
        <f t="shared" si="53"/>
        <v>0</v>
      </c>
      <c r="BT130" s="46"/>
      <c r="BW130" s="31">
        <f t="shared" si="54"/>
        <v>120922</v>
      </c>
      <c r="BX130" s="31">
        <f t="shared" si="55"/>
        <v>60461</v>
      </c>
    </row>
    <row r="131" spans="1:76" x14ac:dyDescent="0.3">
      <c r="A131" s="47" t="s">
        <v>554</v>
      </c>
      <c r="B131" s="16" t="s">
        <v>555</v>
      </c>
      <c r="C131" s="27" t="s">
        <v>556</v>
      </c>
      <c r="D131" s="29">
        <v>45748.208518518513</v>
      </c>
      <c r="E131" s="29"/>
      <c r="F131" s="16" t="s">
        <v>122</v>
      </c>
      <c r="G131" s="16" t="s">
        <v>123</v>
      </c>
      <c r="H131" s="16" t="s">
        <v>8</v>
      </c>
      <c r="I131" s="16" t="s">
        <v>557</v>
      </c>
      <c r="J131" s="30" t="s">
        <v>125</v>
      </c>
      <c r="K131" s="16" t="s">
        <v>126</v>
      </c>
      <c r="L131" s="16">
        <f t="shared" si="56"/>
        <v>31.94</v>
      </c>
      <c r="M131" s="40">
        <v>4083333</v>
      </c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E131" s="31"/>
      <c r="AF131" s="32">
        <f t="shared" si="57"/>
        <v>4083333</v>
      </c>
      <c r="AI131" s="31">
        <v>490067</v>
      </c>
      <c r="AJ131" s="31"/>
      <c r="AK131" s="31">
        <v>99500</v>
      </c>
      <c r="AL131" s="31">
        <v>163400</v>
      </c>
      <c r="AM131" s="31"/>
      <c r="AN131" s="31"/>
      <c r="AO131" s="32">
        <f t="shared" si="58"/>
        <v>752967</v>
      </c>
      <c r="AR131" s="31">
        <v>340277</v>
      </c>
      <c r="AS131" s="31">
        <v>340278</v>
      </c>
      <c r="AT131" s="31">
        <v>57847</v>
      </c>
      <c r="AU131" s="32">
        <f t="shared" si="59"/>
        <v>738402</v>
      </c>
      <c r="AV131" s="41">
        <f t="shared" si="48"/>
        <v>1551830</v>
      </c>
      <c r="AX131" s="31">
        <v>0</v>
      </c>
      <c r="AY131" s="31">
        <v>0</v>
      </c>
      <c r="AZ131" s="31">
        <v>0</v>
      </c>
      <c r="BA131" s="20">
        <v>0</v>
      </c>
      <c r="BB131" s="31">
        <v>0</v>
      </c>
      <c r="BC131" s="31">
        <f t="shared" si="49"/>
        <v>60461</v>
      </c>
      <c r="BD131" s="35">
        <f t="shared" si="60"/>
        <v>60461</v>
      </c>
      <c r="BF131" s="28">
        <f t="shared" si="50"/>
        <v>11.399999999999999</v>
      </c>
      <c r="BG131" s="28">
        <f t="shared" si="51"/>
        <v>7.4562617224326431</v>
      </c>
      <c r="BH131" s="31">
        <f t="shared" si="61"/>
        <v>5657703.6519999998</v>
      </c>
      <c r="BI131" s="31">
        <f t="shared" si="52"/>
        <v>181383</v>
      </c>
      <c r="BJ131" s="40">
        <f t="shared" si="62"/>
        <v>22540.652000000002</v>
      </c>
      <c r="BK131" s="40">
        <f t="shared" si="63"/>
        <v>34462.769999999997</v>
      </c>
      <c r="BL131" s="31">
        <f t="shared" si="64"/>
        <v>5873549.4219999993</v>
      </c>
      <c r="BM131" s="36">
        <v>3023.05</v>
      </c>
      <c r="BN131" s="37">
        <f t="shared" si="65"/>
        <v>1871.52</v>
      </c>
      <c r="BO131" s="37">
        <f t="shared" si="66"/>
        <v>60</v>
      </c>
      <c r="BP131" s="37">
        <f t="shared" si="67"/>
        <v>11.4</v>
      </c>
      <c r="BQ131" s="37">
        <f t="shared" si="68"/>
        <v>1942.92</v>
      </c>
      <c r="BR131" s="38">
        <v>1942.94</v>
      </c>
      <c r="BS131" s="37">
        <f t="shared" si="53"/>
        <v>-1.999999999998181E-2</v>
      </c>
      <c r="BT131" s="46"/>
      <c r="BW131" s="31">
        <f t="shared" si="54"/>
        <v>120922</v>
      </c>
      <c r="BX131" s="31">
        <f t="shared" si="55"/>
        <v>60461</v>
      </c>
    </row>
    <row r="132" spans="1:76" x14ac:dyDescent="0.3">
      <c r="A132" s="47" t="s">
        <v>558</v>
      </c>
      <c r="B132" s="16" t="s">
        <v>559</v>
      </c>
      <c r="C132" s="39" t="s">
        <v>560</v>
      </c>
      <c r="D132" s="29">
        <v>46217.208518518513</v>
      </c>
      <c r="E132" s="29"/>
      <c r="F132" s="16" t="s">
        <v>122</v>
      </c>
      <c r="G132" s="16" t="s">
        <v>123</v>
      </c>
      <c r="H132" s="16" t="s">
        <v>43</v>
      </c>
      <c r="I132" s="16" t="s">
        <v>140</v>
      </c>
      <c r="J132" s="30" t="s">
        <v>125</v>
      </c>
      <c r="K132" s="16" t="s">
        <v>126</v>
      </c>
      <c r="L132" s="16">
        <f t="shared" ref="L132:L168" si="69">IF(AL132&gt;0,31.94,14.44)</f>
        <v>31.94</v>
      </c>
      <c r="M132" s="31">
        <v>10785000</v>
      </c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E132" s="31"/>
      <c r="AF132" s="32">
        <f t="shared" ref="AF132:AF163" si="70">SUM(M132,O132,P132,Q132,R132,S132,T132,U132,V132,W132,X132,Y132,Z132,AA132,AB132,AC132,N132,AE132,AD132)</f>
        <v>10785000</v>
      </c>
      <c r="AI132" s="31">
        <v>1294200</v>
      </c>
      <c r="AJ132" s="31"/>
      <c r="AK132" s="31">
        <v>56300</v>
      </c>
      <c r="AL132" s="31">
        <v>431400</v>
      </c>
      <c r="AM132" s="31"/>
      <c r="AN132" s="31"/>
      <c r="AO132" s="32">
        <f t="shared" ref="AO132:AO163" si="71">SUM(AL132,AJ132,AN132,AK132,AM132,AI132)</f>
        <v>1781900</v>
      </c>
      <c r="AR132" s="31">
        <v>898750</v>
      </c>
      <c r="AS132" s="31">
        <v>898750</v>
      </c>
      <c r="AT132" s="31">
        <v>37149</v>
      </c>
      <c r="AU132" s="32">
        <f t="shared" ref="AU132:AU163" si="72">SUM(AR132,AS132,AT132)</f>
        <v>1834649</v>
      </c>
      <c r="AV132" s="41">
        <f t="shared" si="48"/>
        <v>3677010</v>
      </c>
      <c r="AX132" s="31">
        <v>0</v>
      </c>
      <c r="AY132" s="31">
        <v>0</v>
      </c>
      <c r="AZ132" s="31">
        <v>0</v>
      </c>
      <c r="BA132" s="20">
        <v>0</v>
      </c>
      <c r="BB132" s="31">
        <v>0</v>
      </c>
      <c r="BC132" s="31">
        <f t="shared" si="49"/>
        <v>60461</v>
      </c>
      <c r="BD132" s="35">
        <f t="shared" ref="BD132:BD163" si="73">SUM(AX132,AY132,AZ132,BA132,BB132,BC132,AD132)</f>
        <v>60461</v>
      </c>
      <c r="BF132" s="42">
        <f t="shared" si="50"/>
        <v>11.399999999999999</v>
      </c>
      <c r="BG132" s="42">
        <f t="shared" si="51"/>
        <v>19.135654388779543</v>
      </c>
      <c r="BH132" s="31">
        <f t="shared" ref="BH132:BH168" si="74">SUM(AF132,AO132,AU132,BD132,BJ132)</f>
        <v>14519858.039999999</v>
      </c>
      <c r="BI132" s="31">
        <f t="shared" si="52"/>
        <v>181383</v>
      </c>
      <c r="BJ132" s="31">
        <f t="shared" ref="BJ132:BJ168" si="75">(AF132+AO132+AU132+BD132)*0.004</f>
        <v>57848.04</v>
      </c>
      <c r="BK132" s="31">
        <f t="shared" ref="BK132:BK168" si="76">BI132*0.19</f>
        <v>34462.769999999997</v>
      </c>
      <c r="BL132" s="31">
        <f t="shared" ref="BL132:BL163" si="77">SUM(BH132,BI132,BK132)</f>
        <v>14735703.809999999</v>
      </c>
      <c r="BM132" s="36">
        <v>3023.05</v>
      </c>
      <c r="BN132" s="37">
        <f t="shared" ref="BN132:BN163" si="78">ROUND(BH132/BM132,2)</f>
        <v>4803.05</v>
      </c>
      <c r="BO132" s="37">
        <f t="shared" ref="BO132:BO168" si="79">ROUND(BI132/BM132,2)</f>
        <v>60</v>
      </c>
      <c r="BP132" s="37">
        <f t="shared" ref="BP132:BP168" si="80">ROUND(BK132/BM132,2)</f>
        <v>11.4</v>
      </c>
      <c r="BQ132" s="37">
        <f t="shared" ref="BQ132:BQ163" si="81">SUM(BN132,BO132,BP132)</f>
        <v>4874.45</v>
      </c>
      <c r="BR132" s="38">
        <v>4874.47</v>
      </c>
      <c r="BS132" s="37">
        <f t="shared" si="53"/>
        <v>-2.0000000000436557E-2</v>
      </c>
      <c r="BT132" s="46"/>
      <c r="BW132" s="31">
        <f t="shared" si="54"/>
        <v>120922</v>
      </c>
      <c r="BX132" s="31">
        <f t="shared" si="55"/>
        <v>60461</v>
      </c>
    </row>
    <row r="133" spans="1:76" x14ac:dyDescent="0.3">
      <c r="A133" s="47" t="s">
        <v>561</v>
      </c>
      <c r="B133" s="16" t="s">
        <v>562</v>
      </c>
      <c r="C133" s="27" t="s">
        <v>563</v>
      </c>
      <c r="D133" s="29">
        <v>46000.208518518513</v>
      </c>
      <c r="E133" s="29"/>
      <c r="F133" s="16" t="s">
        <v>122</v>
      </c>
      <c r="G133" s="16" t="s">
        <v>123</v>
      </c>
      <c r="H133" s="16" t="s">
        <v>9</v>
      </c>
      <c r="I133" s="16" t="s">
        <v>171</v>
      </c>
      <c r="J133" s="30" t="s">
        <v>125</v>
      </c>
      <c r="K133" s="16" t="s">
        <v>126</v>
      </c>
      <c r="L133" s="16">
        <f t="shared" si="69"/>
        <v>31.94</v>
      </c>
      <c r="M133" s="31">
        <v>3752984</v>
      </c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E133" s="31"/>
      <c r="AF133" s="32">
        <f t="shared" si="70"/>
        <v>3752984</v>
      </c>
      <c r="AI133" s="31">
        <v>450381</v>
      </c>
      <c r="AJ133" s="31"/>
      <c r="AK133" s="31">
        <v>91500</v>
      </c>
      <c r="AL133" s="31">
        <v>150200</v>
      </c>
      <c r="AM133" s="31"/>
      <c r="AN133" s="31"/>
      <c r="AO133" s="32">
        <f t="shared" si="71"/>
        <v>692081</v>
      </c>
      <c r="AR133" s="31">
        <v>312749</v>
      </c>
      <c r="AS133" s="31">
        <v>312749</v>
      </c>
      <c r="AT133" s="31">
        <v>53167</v>
      </c>
      <c r="AU133" s="32">
        <f t="shared" si="72"/>
        <v>678665</v>
      </c>
      <c r="AV133" s="41">
        <f t="shared" ref="AV133:AV168" si="82">SUM(AO133,AU133,BC133)</f>
        <v>1431207</v>
      </c>
      <c r="AX133" s="31">
        <v>0</v>
      </c>
      <c r="AY133" s="31">
        <v>0</v>
      </c>
      <c r="AZ133" s="31">
        <v>0</v>
      </c>
      <c r="BA133" s="20">
        <v>0</v>
      </c>
      <c r="BB133" s="31">
        <v>0</v>
      </c>
      <c r="BC133" s="31">
        <f t="shared" ref="BC133:BC168" si="83">$BM$4*20</f>
        <v>60461</v>
      </c>
      <c r="BD133" s="35">
        <f t="shared" si="73"/>
        <v>60461</v>
      </c>
      <c r="BF133" s="28">
        <f t="shared" ref="BF133:BF168" si="84">BK133/$BM$4</f>
        <v>11.399999999999999</v>
      </c>
      <c r="BG133" s="28">
        <f t="shared" ref="BG133:BG168" si="85">BJ133/$BM$4</f>
        <v>6.8595504540116758</v>
      </c>
      <c r="BH133" s="31">
        <f t="shared" si="74"/>
        <v>5204927.7640000004</v>
      </c>
      <c r="BI133" s="31">
        <f t="shared" ref="BI133:BI168" si="86">60*BM133</f>
        <v>181383</v>
      </c>
      <c r="BJ133" s="40">
        <f t="shared" si="75"/>
        <v>20736.763999999999</v>
      </c>
      <c r="BK133" s="40">
        <f t="shared" si="76"/>
        <v>34462.769999999997</v>
      </c>
      <c r="BL133" s="31">
        <f t="shared" si="77"/>
        <v>5420773.534</v>
      </c>
      <c r="BM133" s="36">
        <v>3023.05</v>
      </c>
      <c r="BN133" s="37">
        <f t="shared" si="78"/>
        <v>1721.75</v>
      </c>
      <c r="BO133" s="37">
        <f t="shared" si="79"/>
        <v>60</v>
      </c>
      <c r="BP133" s="37">
        <f t="shared" si="80"/>
        <v>11.4</v>
      </c>
      <c r="BQ133" s="37">
        <f t="shared" si="81"/>
        <v>1793.15</v>
      </c>
      <c r="BR133" s="38">
        <v>1793.16</v>
      </c>
      <c r="BS133" s="37">
        <f t="shared" ref="BS133:BS168" si="87">BQ133-BR133</f>
        <v>-9.9999999999909051E-3</v>
      </c>
      <c r="BT133" s="46"/>
      <c r="BW133" s="31">
        <f t="shared" ref="BW133:BW168" si="88">BM133*40</f>
        <v>120922</v>
      </c>
      <c r="BX133" s="31">
        <f t="shared" ref="BX133:BX168" si="89">BW133-BC133</f>
        <v>60461</v>
      </c>
    </row>
    <row r="134" spans="1:76" x14ac:dyDescent="0.3">
      <c r="A134" s="47" t="s">
        <v>564</v>
      </c>
      <c r="B134" s="16" t="s">
        <v>565</v>
      </c>
      <c r="C134" s="39" t="s">
        <v>566</v>
      </c>
      <c r="D134" s="29">
        <v>46013.208518518513</v>
      </c>
      <c r="E134" s="29"/>
      <c r="F134" s="16" t="s">
        <v>122</v>
      </c>
      <c r="G134" s="16" t="s">
        <v>123</v>
      </c>
      <c r="H134" s="16" t="s">
        <v>15</v>
      </c>
      <c r="I134" s="16" t="s">
        <v>148</v>
      </c>
      <c r="J134" s="30" t="s">
        <v>125</v>
      </c>
      <c r="K134" s="16" t="s">
        <v>126</v>
      </c>
      <c r="L134" s="16">
        <f t="shared" si="69"/>
        <v>31.94</v>
      </c>
      <c r="M134" s="31">
        <v>3500000</v>
      </c>
      <c r="N134" s="31"/>
      <c r="O134" s="31"/>
      <c r="P134" s="31"/>
      <c r="Q134" s="31"/>
      <c r="R134" s="40">
        <v>253333</v>
      </c>
      <c r="S134" s="31">
        <v>2542000</v>
      </c>
      <c r="T134" s="31"/>
      <c r="U134" s="31"/>
      <c r="V134" s="31"/>
      <c r="W134" s="31"/>
      <c r="X134" s="31"/>
      <c r="Y134" s="31"/>
      <c r="Z134" s="31">
        <v>249095</v>
      </c>
      <c r="AA134" s="31"/>
      <c r="AB134" s="31"/>
      <c r="AC134" s="31"/>
      <c r="AE134" s="31"/>
      <c r="AF134" s="32">
        <f t="shared" si="70"/>
        <v>6544428</v>
      </c>
      <c r="AI134" s="31">
        <v>755487</v>
      </c>
      <c r="AJ134" s="31"/>
      <c r="AK134" s="31">
        <v>32900</v>
      </c>
      <c r="AL134" s="31">
        <v>251900</v>
      </c>
      <c r="AM134" s="31"/>
      <c r="AN134" s="31"/>
      <c r="AO134" s="32">
        <f t="shared" si="71"/>
        <v>1040287</v>
      </c>
      <c r="AR134" s="31">
        <v>545369</v>
      </c>
      <c r="AS134" s="31">
        <v>545369</v>
      </c>
      <c r="AT134" s="31">
        <v>89586</v>
      </c>
      <c r="AU134" s="32">
        <f t="shared" si="72"/>
        <v>1180324</v>
      </c>
      <c r="AV134" s="41">
        <f t="shared" si="82"/>
        <v>2281072</v>
      </c>
      <c r="AX134" s="31">
        <v>0</v>
      </c>
      <c r="AY134" s="31">
        <v>0</v>
      </c>
      <c r="AZ134" s="31">
        <v>0</v>
      </c>
      <c r="BA134" s="20">
        <v>0</v>
      </c>
      <c r="BB134" s="31">
        <v>0</v>
      </c>
      <c r="BC134" s="31">
        <f t="shared" si="83"/>
        <v>60461</v>
      </c>
      <c r="BD134" s="35">
        <f t="shared" si="73"/>
        <v>60461</v>
      </c>
      <c r="BF134" s="42">
        <f t="shared" si="84"/>
        <v>11.399999999999999</v>
      </c>
      <c r="BG134" s="42">
        <f t="shared" si="85"/>
        <v>11.677610360397612</v>
      </c>
      <c r="BH134" s="31">
        <f t="shared" si="74"/>
        <v>8860802</v>
      </c>
      <c r="BI134" s="31">
        <f t="shared" si="86"/>
        <v>181383</v>
      </c>
      <c r="BJ134" s="31">
        <f t="shared" si="75"/>
        <v>35302</v>
      </c>
      <c r="BK134" s="31">
        <f t="shared" si="76"/>
        <v>34462.769999999997</v>
      </c>
      <c r="BL134" s="31">
        <f t="shared" si="77"/>
        <v>9076647.7699999996</v>
      </c>
      <c r="BM134" s="36">
        <v>3023.05</v>
      </c>
      <c r="BN134" s="37">
        <f t="shared" si="78"/>
        <v>2931.08</v>
      </c>
      <c r="BO134" s="37">
        <f t="shared" si="79"/>
        <v>60</v>
      </c>
      <c r="BP134" s="37">
        <f t="shared" si="80"/>
        <v>11.4</v>
      </c>
      <c r="BQ134" s="37">
        <f t="shared" si="81"/>
        <v>3002.48</v>
      </c>
      <c r="BR134" s="38">
        <v>3002.52</v>
      </c>
      <c r="BS134" s="37">
        <f t="shared" si="87"/>
        <v>-3.999999999996362E-2</v>
      </c>
      <c r="BT134" s="46"/>
      <c r="BW134" s="31">
        <f t="shared" si="88"/>
        <v>120922</v>
      </c>
      <c r="BX134" s="31">
        <f t="shared" si="89"/>
        <v>60461</v>
      </c>
    </row>
    <row r="135" spans="1:76" x14ac:dyDescent="0.3">
      <c r="A135" s="47" t="s">
        <v>567</v>
      </c>
      <c r="B135" s="16" t="s">
        <v>568</v>
      </c>
      <c r="C135" s="27" t="s">
        <v>569</v>
      </c>
      <c r="D135" s="29">
        <v>45992.208518518513</v>
      </c>
      <c r="E135" s="29"/>
      <c r="F135" s="16" t="s">
        <v>122</v>
      </c>
      <c r="G135" s="16" t="s">
        <v>123</v>
      </c>
      <c r="H135" s="16" t="s">
        <v>42</v>
      </c>
      <c r="I135" s="16" t="s">
        <v>338</v>
      </c>
      <c r="J135" s="30" t="s">
        <v>125</v>
      </c>
      <c r="K135" s="16" t="s">
        <v>126</v>
      </c>
      <c r="L135" s="16">
        <f t="shared" si="69"/>
        <v>31.94</v>
      </c>
      <c r="M135" s="31">
        <v>2700000</v>
      </c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>
        <v>249095</v>
      </c>
      <c r="AA135" s="31"/>
      <c r="AB135" s="31"/>
      <c r="AC135" s="31"/>
      <c r="AE135" s="31"/>
      <c r="AF135" s="32">
        <f t="shared" si="70"/>
        <v>2949095</v>
      </c>
      <c r="AI135" s="31">
        <v>334280</v>
      </c>
      <c r="AJ135" s="31"/>
      <c r="AK135" s="31">
        <v>67900</v>
      </c>
      <c r="AL135" s="31">
        <v>111500</v>
      </c>
      <c r="AM135" s="31"/>
      <c r="AN135" s="31"/>
      <c r="AO135" s="32">
        <f t="shared" si="71"/>
        <v>513680</v>
      </c>
      <c r="AR135" s="31">
        <v>252883</v>
      </c>
      <c r="AS135" s="31">
        <v>252883</v>
      </c>
      <c r="AT135" s="31">
        <v>44829</v>
      </c>
      <c r="AU135" s="32">
        <f t="shared" si="72"/>
        <v>550595</v>
      </c>
      <c r="AV135" s="41">
        <f t="shared" si="82"/>
        <v>1124736</v>
      </c>
      <c r="AX135" s="31">
        <v>0</v>
      </c>
      <c r="AY135" s="31">
        <v>0</v>
      </c>
      <c r="AZ135" s="31">
        <v>0</v>
      </c>
      <c r="BA135" s="20">
        <v>0</v>
      </c>
      <c r="BB135" s="31">
        <v>0</v>
      </c>
      <c r="BC135" s="31">
        <f t="shared" si="83"/>
        <v>60461</v>
      </c>
      <c r="BD135" s="35">
        <f t="shared" si="73"/>
        <v>60461</v>
      </c>
      <c r="BF135" s="28">
        <f t="shared" si="84"/>
        <v>11.399999999999999</v>
      </c>
      <c r="BG135" s="28">
        <f t="shared" si="85"/>
        <v>5.390358743652933</v>
      </c>
      <c r="BH135" s="31">
        <f t="shared" si="74"/>
        <v>4090126.324</v>
      </c>
      <c r="BI135" s="31">
        <f t="shared" si="86"/>
        <v>181383</v>
      </c>
      <c r="BJ135" s="40">
        <f t="shared" si="75"/>
        <v>16295.324000000001</v>
      </c>
      <c r="BK135" s="40">
        <f t="shared" si="76"/>
        <v>34462.769999999997</v>
      </c>
      <c r="BL135" s="31">
        <f t="shared" si="77"/>
        <v>4305972.0939999996</v>
      </c>
      <c r="BM135" s="36">
        <v>3023.05</v>
      </c>
      <c r="BN135" s="37">
        <f t="shared" si="78"/>
        <v>1352.98</v>
      </c>
      <c r="BO135" s="37">
        <f t="shared" si="79"/>
        <v>60</v>
      </c>
      <c r="BP135" s="37">
        <f t="shared" si="80"/>
        <v>11.4</v>
      </c>
      <c r="BQ135" s="37">
        <f t="shared" si="81"/>
        <v>1424.38</v>
      </c>
      <c r="BR135" s="38">
        <v>1490.55</v>
      </c>
      <c r="BS135" s="37">
        <f t="shared" si="87"/>
        <v>-66.169999999999845</v>
      </c>
      <c r="BT135" s="46" t="s">
        <v>570</v>
      </c>
      <c r="BW135" s="31">
        <f t="shared" si="88"/>
        <v>120922</v>
      </c>
      <c r="BX135" s="31">
        <f t="shared" si="89"/>
        <v>60461</v>
      </c>
    </row>
    <row r="136" spans="1:76" x14ac:dyDescent="0.3">
      <c r="A136" s="47" t="s">
        <v>571</v>
      </c>
      <c r="B136" s="16" t="s">
        <v>572</v>
      </c>
      <c r="C136" s="39" t="s">
        <v>573</v>
      </c>
      <c r="D136" s="29">
        <v>46057.208518518513</v>
      </c>
      <c r="E136" s="29"/>
      <c r="F136" s="16" t="s">
        <v>122</v>
      </c>
      <c r="G136" s="16" t="s">
        <v>123</v>
      </c>
      <c r="H136" s="16" t="s">
        <v>15</v>
      </c>
      <c r="I136" s="16" t="s">
        <v>148</v>
      </c>
      <c r="J136" s="30" t="s">
        <v>125</v>
      </c>
      <c r="K136" s="16" t="s">
        <v>126</v>
      </c>
      <c r="L136" s="16">
        <f t="shared" si="69"/>
        <v>31.94</v>
      </c>
      <c r="M136" s="31">
        <v>3500000</v>
      </c>
      <c r="N136" s="31"/>
      <c r="O136" s="31"/>
      <c r="P136" s="31"/>
      <c r="Q136" s="31"/>
      <c r="R136" s="40">
        <v>253333</v>
      </c>
      <c r="S136" s="31">
        <v>2120000</v>
      </c>
      <c r="T136" s="31"/>
      <c r="U136" s="31"/>
      <c r="V136" s="31"/>
      <c r="W136" s="31"/>
      <c r="X136" s="31"/>
      <c r="Y136" s="31"/>
      <c r="Z136" s="40">
        <v>249095</v>
      </c>
      <c r="AA136" s="31"/>
      <c r="AB136" s="31"/>
      <c r="AC136" s="31"/>
      <c r="AE136" s="31"/>
      <c r="AF136" s="32">
        <f t="shared" si="70"/>
        <v>6122428</v>
      </c>
      <c r="AI136" s="31">
        <v>704867</v>
      </c>
      <c r="AJ136" s="31"/>
      <c r="AK136" s="31">
        <v>30700</v>
      </c>
      <c r="AL136" s="31">
        <v>235000</v>
      </c>
      <c r="AM136" s="31"/>
      <c r="AN136" s="31"/>
      <c r="AO136" s="32">
        <f t="shared" si="71"/>
        <v>970567</v>
      </c>
      <c r="AR136" s="31">
        <v>510203</v>
      </c>
      <c r="AS136" s="31">
        <v>510202</v>
      </c>
      <c r="AT136" s="31">
        <v>69815</v>
      </c>
      <c r="AU136" s="32">
        <f t="shared" si="72"/>
        <v>1090220</v>
      </c>
      <c r="AV136" s="41">
        <f t="shared" si="82"/>
        <v>2121248</v>
      </c>
      <c r="AX136" s="31">
        <v>0</v>
      </c>
      <c r="AY136" s="31">
        <v>0</v>
      </c>
      <c r="AZ136" s="31">
        <v>0</v>
      </c>
      <c r="BA136" s="20">
        <v>0</v>
      </c>
      <c r="BB136" s="40">
        <v>73300</v>
      </c>
      <c r="BC136" s="31">
        <f t="shared" si="83"/>
        <v>60461</v>
      </c>
      <c r="BD136" s="35">
        <f t="shared" si="73"/>
        <v>133761</v>
      </c>
      <c r="BF136" s="42">
        <f t="shared" si="84"/>
        <v>11.399999999999999</v>
      </c>
      <c r="BG136" s="42">
        <f t="shared" si="85"/>
        <v>11.004748184780272</v>
      </c>
      <c r="BH136" s="31">
        <f t="shared" si="74"/>
        <v>8350243.9040000001</v>
      </c>
      <c r="BI136" s="31">
        <f t="shared" si="86"/>
        <v>181383</v>
      </c>
      <c r="BJ136" s="31">
        <f t="shared" si="75"/>
        <v>33267.904000000002</v>
      </c>
      <c r="BK136" s="31">
        <f t="shared" si="76"/>
        <v>34462.769999999997</v>
      </c>
      <c r="BL136" s="31">
        <f t="shared" si="77"/>
        <v>8566089.6739999987</v>
      </c>
      <c r="BM136" s="36">
        <v>3023.05</v>
      </c>
      <c r="BN136" s="37">
        <f t="shared" si="78"/>
        <v>2762.19</v>
      </c>
      <c r="BO136" s="37">
        <f t="shared" si="79"/>
        <v>60</v>
      </c>
      <c r="BP136" s="37">
        <f t="shared" si="80"/>
        <v>11.4</v>
      </c>
      <c r="BQ136" s="37">
        <f t="shared" si="81"/>
        <v>2833.59</v>
      </c>
      <c r="BR136" s="38">
        <v>2833.62</v>
      </c>
      <c r="BS136" s="37">
        <f t="shared" si="87"/>
        <v>-2.9999999999745341E-2</v>
      </c>
      <c r="BT136" s="46"/>
      <c r="BW136" s="31">
        <f t="shared" si="88"/>
        <v>120922</v>
      </c>
      <c r="BX136" s="31">
        <f t="shared" si="89"/>
        <v>60461</v>
      </c>
    </row>
    <row r="137" spans="1:76" x14ac:dyDescent="0.3">
      <c r="A137" s="47" t="s">
        <v>574</v>
      </c>
      <c r="B137" s="16" t="s">
        <v>575</v>
      </c>
      <c r="C137" s="39" t="s">
        <v>576</v>
      </c>
      <c r="D137" s="29">
        <v>46092.208518518513</v>
      </c>
      <c r="E137" s="29"/>
      <c r="F137" s="16" t="s">
        <v>122</v>
      </c>
      <c r="G137" s="16" t="s">
        <v>123</v>
      </c>
      <c r="H137" s="16" t="s">
        <v>15</v>
      </c>
      <c r="I137" s="16" t="s">
        <v>148</v>
      </c>
      <c r="J137" s="30" t="s">
        <v>125</v>
      </c>
      <c r="K137" s="16" t="s">
        <v>126</v>
      </c>
      <c r="L137" s="16">
        <f t="shared" si="69"/>
        <v>31.94</v>
      </c>
      <c r="M137" s="31">
        <v>3500000</v>
      </c>
      <c r="N137" s="31"/>
      <c r="O137" s="31"/>
      <c r="P137" s="31"/>
      <c r="Q137" s="31"/>
      <c r="R137" s="40">
        <v>506667</v>
      </c>
      <c r="S137" s="31">
        <v>984000</v>
      </c>
      <c r="T137" s="31"/>
      <c r="U137" s="31"/>
      <c r="V137" s="31"/>
      <c r="W137" s="31"/>
      <c r="X137" s="31"/>
      <c r="Y137" s="31"/>
      <c r="Z137" s="31">
        <v>249095</v>
      </c>
      <c r="AA137" s="31"/>
      <c r="AB137" s="31"/>
      <c r="AC137" s="31"/>
      <c r="AE137" s="31"/>
      <c r="AF137" s="32">
        <f t="shared" si="70"/>
        <v>5239762</v>
      </c>
      <c r="AI137" s="31">
        <v>598973</v>
      </c>
      <c r="AJ137" s="31"/>
      <c r="AK137" s="31">
        <v>26100</v>
      </c>
      <c r="AL137" s="31">
        <v>199700</v>
      </c>
      <c r="AM137" s="31"/>
      <c r="AN137" s="31"/>
      <c r="AO137" s="32">
        <f t="shared" si="71"/>
        <v>824773</v>
      </c>
      <c r="AR137" s="31">
        <v>436646</v>
      </c>
      <c r="AS137" s="31">
        <v>436647</v>
      </c>
      <c r="AT137" s="31">
        <v>52542</v>
      </c>
      <c r="AU137" s="32">
        <f t="shared" si="72"/>
        <v>925835</v>
      </c>
      <c r="AV137" s="41">
        <f t="shared" si="82"/>
        <v>1811069</v>
      </c>
      <c r="AX137" s="31">
        <v>0</v>
      </c>
      <c r="AY137" s="31">
        <v>0</v>
      </c>
      <c r="AZ137" s="31">
        <v>0</v>
      </c>
      <c r="BA137" s="20">
        <v>0</v>
      </c>
      <c r="BB137" s="40">
        <v>73300</v>
      </c>
      <c r="BC137" s="31">
        <f t="shared" si="83"/>
        <v>60461</v>
      </c>
      <c r="BD137" s="35">
        <f t="shared" si="73"/>
        <v>133761</v>
      </c>
      <c r="BF137" s="42">
        <f t="shared" si="84"/>
        <v>11.399999999999999</v>
      </c>
      <c r="BG137" s="42">
        <f t="shared" si="85"/>
        <v>9.4264150444087917</v>
      </c>
      <c r="BH137" s="31">
        <f t="shared" si="74"/>
        <v>7152627.5240000002</v>
      </c>
      <c r="BI137" s="31">
        <f t="shared" si="86"/>
        <v>181383</v>
      </c>
      <c r="BJ137" s="31">
        <f t="shared" si="75"/>
        <v>28496.524000000001</v>
      </c>
      <c r="BK137" s="31">
        <f t="shared" si="76"/>
        <v>34462.769999999997</v>
      </c>
      <c r="BL137" s="31">
        <f t="shared" si="77"/>
        <v>7368473.2939999998</v>
      </c>
      <c r="BM137" s="36">
        <v>3023.05</v>
      </c>
      <c r="BN137" s="37">
        <f t="shared" si="78"/>
        <v>2366.0300000000002</v>
      </c>
      <c r="BO137" s="37">
        <f t="shared" si="79"/>
        <v>60</v>
      </c>
      <c r="BP137" s="37">
        <f t="shared" si="80"/>
        <v>11.4</v>
      </c>
      <c r="BQ137" s="37">
        <f t="shared" si="81"/>
        <v>2437.4300000000003</v>
      </c>
      <c r="BR137" s="38">
        <v>2437.46</v>
      </c>
      <c r="BS137" s="37">
        <f t="shared" si="87"/>
        <v>-2.9999999999745341E-2</v>
      </c>
      <c r="BT137" s="46"/>
      <c r="BW137" s="31">
        <f t="shared" si="88"/>
        <v>120922</v>
      </c>
      <c r="BX137" s="31">
        <f t="shared" si="89"/>
        <v>60461</v>
      </c>
    </row>
    <row r="138" spans="1:76" x14ac:dyDescent="0.3">
      <c r="A138" s="47" t="s">
        <v>577</v>
      </c>
      <c r="B138" s="16" t="s">
        <v>578</v>
      </c>
      <c r="C138" s="27" t="s">
        <v>579</v>
      </c>
      <c r="D138" s="29">
        <v>46219.208518518513</v>
      </c>
      <c r="E138" s="29"/>
      <c r="F138" s="16" t="s">
        <v>122</v>
      </c>
      <c r="G138" s="16" t="s">
        <v>123</v>
      </c>
      <c r="H138" s="16" t="s">
        <v>36</v>
      </c>
      <c r="I138" s="16" t="s">
        <v>152</v>
      </c>
      <c r="J138" s="30" t="s">
        <v>125</v>
      </c>
      <c r="K138" s="16" t="s">
        <v>126</v>
      </c>
      <c r="L138" s="16">
        <f t="shared" si="69"/>
        <v>31.94</v>
      </c>
      <c r="M138" s="31">
        <v>2527550</v>
      </c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40">
        <v>249095</v>
      </c>
      <c r="AA138" s="31"/>
      <c r="AB138" s="31"/>
      <c r="AC138" s="31"/>
      <c r="AE138" s="31"/>
      <c r="AF138" s="32">
        <f t="shared" si="70"/>
        <v>2776645</v>
      </c>
      <c r="AI138" s="31">
        <v>303398</v>
      </c>
      <c r="AJ138" s="31"/>
      <c r="AK138" s="31">
        <v>13200</v>
      </c>
      <c r="AL138" s="31">
        <v>101200</v>
      </c>
      <c r="AM138" s="31"/>
      <c r="AN138" s="31"/>
      <c r="AO138" s="32">
        <f t="shared" si="71"/>
        <v>417798</v>
      </c>
      <c r="AR138" s="31">
        <v>231387</v>
      </c>
      <c r="AS138" s="31">
        <v>231387</v>
      </c>
      <c r="AT138" s="31">
        <v>9256</v>
      </c>
      <c r="AU138" s="32">
        <f t="shared" si="72"/>
        <v>472030</v>
      </c>
      <c r="AV138" s="41">
        <f t="shared" si="82"/>
        <v>950289</v>
      </c>
      <c r="AX138" s="31">
        <v>0</v>
      </c>
      <c r="AY138" s="31">
        <v>0</v>
      </c>
      <c r="AZ138" s="31">
        <v>0</v>
      </c>
      <c r="BA138" s="20">
        <v>0</v>
      </c>
      <c r="BB138" s="31">
        <v>0</v>
      </c>
      <c r="BC138" s="31">
        <f t="shared" si="83"/>
        <v>60461</v>
      </c>
      <c r="BD138" s="35">
        <f t="shared" si="73"/>
        <v>60461</v>
      </c>
      <c r="BF138" s="28">
        <f t="shared" si="84"/>
        <v>11.399999999999999</v>
      </c>
      <c r="BG138" s="28">
        <f t="shared" si="85"/>
        <v>4.9313560807793451</v>
      </c>
      <c r="BH138" s="31">
        <f t="shared" si="74"/>
        <v>3741841.736</v>
      </c>
      <c r="BI138" s="31">
        <f t="shared" si="86"/>
        <v>181383</v>
      </c>
      <c r="BJ138" s="40">
        <f t="shared" si="75"/>
        <v>14907.736000000001</v>
      </c>
      <c r="BK138" s="40">
        <f t="shared" si="76"/>
        <v>34462.769999999997</v>
      </c>
      <c r="BL138" s="31">
        <f t="shared" si="77"/>
        <v>3957687.5060000001</v>
      </c>
      <c r="BM138" s="36">
        <v>3023.05</v>
      </c>
      <c r="BN138" s="37">
        <f t="shared" si="78"/>
        <v>1237.77</v>
      </c>
      <c r="BO138" s="37">
        <f t="shared" si="79"/>
        <v>60</v>
      </c>
      <c r="BP138" s="37">
        <f t="shared" si="80"/>
        <v>11.4</v>
      </c>
      <c r="BQ138" s="37">
        <f t="shared" si="81"/>
        <v>1309.17</v>
      </c>
      <c r="BR138" s="38">
        <v>1309.18</v>
      </c>
      <c r="BS138" s="37">
        <f t="shared" si="87"/>
        <v>-9.9999999999909051E-3</v>
      </c>
      <c r="BT138" s="46"/>
      <c r="BW138" s="31">
        <f t="shared" si="88"/>
        <v>120922</v>
      </c>
      <c r="BX138" s="31">
        <f t="shared" si="89"/>
        <v>60461</v>
      </c>
    </row>
    <row r="139" spans="1:76" x14ac:dyDescent="0.3">
      <c r="A139" s="47" t="s">
        <v>580</v>
      </c>
      <c r="B139" s="16" t="s">
        <v>581</v>
      </c>
      <c r="C139" s="27" t="s">
        <v>582</v>
      </c>
      <c r="D139" s="29">
        <v>46092.208518518513</v>
      </c>
      <c r="E139" s="29"/>
      <c r="F139" s="16" t="s">
        <v>122</v>
      </c>
      <c r="G139" s="16" t="s">
        <v>123</v>
      </c>
      <c r="H139" s="16" t="s">
        <v>28</v>
      </c>
      <c r="I139" s="16" t="s">
        <v>583</v>
      </c>
      <c r="J139" s="30" t="s">
        <v>125</v>
      </c>
      <c r="K139" s="16" t="s">
        <v>126</v>
      </c>
      <c r="L139" s="16">
        <f t="shared" si="69"/>
        <v>31.94</v>
      </c>
      <c r="M139" s="31">
        <v>26138825</v>
      </c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E139" s="31"/>
      <c r="AF139" s="32">
        <f t="shared" si="70"/>
        <v>26138825</v>
      </c>
      <c r="AI139" s="31"/>
      <c r="AJ139" s="31">
        <v>2221847</v>
      </c>
      <c r="AK139" s="31">
        <v>636800</v>
      </c>
      <c r="AL139" s="31">
        <v>1045600</v>
      </c>
      <c r="AM139" s="31">
        <v>522800</v>
      </c>
      <c r="AN139" s="31">
        <v>784200</v>
      </c>
      <c r="AO139" s="32">
        <f t="shared" si="71"/>
        <v>5211247</v>
      </c>
      <c r="AR139" s="31">
        <v>2178235</v>
      </c>
      <c r="AS139" s="31">
        <v>2178236</v>
      </c>
      <c r="AT139" s="31">
        <v>321815</v>
      </c>
      <c r="AU139" s="32">
        <f t="shared" si="72"/>
        <v>4678286</v>
      </c>
      <c r="AV139" s="41">
        <f t="shared" si="82"/>
        <v>9949994</v>
      </c>
      <c r="AX139" s="31">
        <v>16697015</v>
      </c>
      <c r="AY139" s="31">
        <v>0</v>
      </c>
      <c r="AZ139" s="31">
        <v>0</v>
      </c>
      <c r="BA139" s="20">
        <v>0</v>
      </c>
      <c r="BB139" s="31">
        <v>0</v>
      </c>
      <c r="BC139" s="31">
        <f t="shared" si="83"/>
        <v>60461</v>
      </c>
      <c r="BD139" s="35">
        <f t="shared" si="73"/>
        <v>16757476</v>
      </c>
      <c r="BF139" s="28">
        <f t="shared" si="84"/>
        <v>11.399999999999999</v>
      </c>
      <c r="BG139" s="28">
        <f t="shared" si="85"/>
        <v>69.844473627627721</v>
      </c>
      <c r="BH139" s="31">
        <f t="shared" si="74"/>
        <v>52996977.336000003</v>
      </c>
      <c r="BI139" s="31">
        <f t="shared" si="86"/>
        <v>181383</v>
      </c>
      <c r="BJ139" s="40">
        <f t="shared" si="75"/>
        <v>211143.33600000001</v>
      </c>
      <c r="BK139" s="40">
        <f t="shared" si="76"/>
        <v>34462.769999999997</v>
      </c>
      <c r="BL139" s="31">
        <f t="shared" si="77"/>
        <v>53212823.106000006</v>
      </c>
      <c r="BM139" s="36">
        <v>3023.05</v>
      </c>
      <c r="BN139" s="37">
        <f t="shared" si="78"/>
        <v>17530.96</v>
      </c>
      <c r="BO139" s="37">
        <f t="shared" si="79"/>
        <v>60</v>
      </c>
      <c r="BP139" s="37">
        <f t="shared" si="80"/>
        <v>11.4</v>
      </c>
      <c r="BQ139" s="37">
        <f t="shared" si="81"/>
        <v>17602.36</v>
      </c>
      <c r="BR139" s="38">
        <v>17602.77</v>
      </c>
      <c r="BS139" s="37">
        <f t="shared" si="87"/>
        <v>-0.40999999999985448</v>
      </c>
      <c r="BT139" s="46"/>
      <c r="BW139" s="31">
        <f t="shared" si="88"/>
        <v>120922</v>
      </c>
      <c r="BX139" s="31">
        <f t="shared" si="89"/>
        <v>60461</v>
      </c>
    </row>
    <row r="140" spans="1:76" x14ac:dyDescent="0.3">
      <c r="A140" s="47" t="s">
        <v>584</v>
      </c>
      <c r="B140" s="16" t="s">
        <v>585</v>
      </c>
      <c r="C140" s="39" t="s">
        <v>586</v>
      </c>
      <c r="D140" s="29">
        <v>46217.208518518513</v>
      </c>
      <c r="E140" s="29"/>
      <c r="F140" s="16" t="s">
        <v>122</v>
      </c>
      <c r="G140" s="16" t="s">
        <v>123</v>
      </c>
      <c r="H140" s="16" t="s">
        <v>43</v>
      </c>
      <c r="I140" s="16" t="s">
        <v>140</v>
      </c>
      <c r="J140" s="30" t="s">
        <v>125</v>
      </c>
      <c r="K140" s="16" t="s">
        <v>126</v>
      </c>
      <c r="L140" s="16">
        <f t="shared" si="69"/>
        <v>31.94</v>
      </c>
      <c r="M140" s="31">
        <v>3000000</v>
      </c>
      <c r="N140" s="31"/>
      <c r="O140" s="31"/>
      <c r="P140" s="31"/>
      <c r="Q140" s="31"/>
      <c r="R140" s="31"/>
      <c r="S140" s="31">
        <v>245185</v>
      </c>
      <c r="T140" s="31"/>
      <c r="U140" s="31"/>
      <c r="V140" s="31"/>
      <c r="W140" s="31"/>
      <c r="X140" s="31"/>
      <c r="Y140" s="31"/>
      <c r="Z140" s="40">
        <v>249095</v>
      </c>
      <c r="AA140" s="31"/>
      <c r="AB140" s="31"/>
      <c r="AC140" s="31"/>
      <c r="AE140" s="31"/>
      <c r="AF140" s="32">
        <f t="shared" si="70"/>
        <v>3494280</v>
      </c>
      <c r="AI140" s="31">
        <v>389493</v>
      </c>
      <c r="AJ140" s="31"/>
      <c r="AK140" s="31">
        <v>17000</v>
      </c>
      <c r="AL140" s="31">
        <v>129900</v>
      </c>
      <c r="AM140" s="31"/>
      <c r="AN140" s="31"/>
      <c r="AO140" s="32">
        <f t="shared" si="71"/>
        <v>536393</v>
      </c>
      <c r="AR140" s="31">
        <v>291190</v>
      </c>
      <c r="AS140" s="31">
        <v>291190</v>
      </c>
      <c r="AT140" s="31">
        <v>11715</v>
      </c>
      <c r="AU140" s="32">
        <f t="shared" si="72"/>
        <v>594095</v>
      </c>
      <c r="AV140" s="41">
        <f t="shared" si="82"/>
        <v>1190949</v>
      </c>
      <c r="AX140" s="31">
        <v>0</v>
      </c>
      <c r="AY140" s="31">
        <v>0</v>
      </c>
      <c r="AZ140" s="31">
        <v>0</v>
      </c>
      <c r="BA140" s="20">
        <v>0</v>
      </c>
      <c r="BB140" s="31">
        <v>0</v>
      </c>
      <c r="BC140" s="31">
        <f t="shared" si="83"/>
        <v>60461</v>
      </c>
      <c r="BD140" s="35">
        <f t="shared" si="73"/>
        <v>60461</v>
      </c>
      <c r="BF140" s="42">
        <f t="shared" si="84"/>
        <v>11.399999999999999</v>
      </c>
      <c r="BG140" s="42">
        <f t="shared" si="85"/>
        <v>6.1993404012503932</v>
      </c>
      <c r="BH140" s="31">
        <f t="shared" si="74"/>
        <v>4703969.9160000002</v>
      </c>
      <c r="BI140" s="31">
        <f t="shared" si="86"/>
        <v>181383</v>
      </c>
      <c r="BJ140" s="31">
        <f t="shared" si="75"/>
        <v>18740.916000000001</v>
      </c>
      <c r="BK140" s="31">
        <f t="shared" si="76"/>
        <v>34462.769999999997</v>
      </c>
      <c r="BL140" s="31">
        <f t="shared" si="77"/>
        <v>4919815.6859999998</v>
      </c>
      <c r="BM140" s="36">
        <v>3023.05</v>
      </c>
      <c r="BN140" s="37">
        <f t="shared" si="78"/>
        <v>1556.03</v>
      </c>
      <c r="BO140" s="37">
        <f t="shared" si="79"/>
        <v>60</v>
      </c>
      <c r="BP140" s="37">
        <f t="shared" si="80"/>
        <v>11.4</v>
      </c>
      <c r="BQ140" s="37">
        <f t="shared" si="81"/>
        <v>1627.43</v>
      </c>
      <c r="BR140" s="38">
        <v>1627.45</v>
      </c>
      <c r="BS140" s="37">
        <f t="shared" si="87"/>
        <v>-1.999999999998181E-2</v>
      </c>
      <c r="BT140" s="46" t="s">
        <v>587</v>
      </c>
      <c r="BW140" s="31">
        <f t="shared" si="88"/>
        <v>120922</v>
      </c>
      <c r="BX140" s="31">
        <f t="shared" si="89"/>
        <v>60461</v>
      </c>
    </row>
    <row r="141" spans="1:76" x14ac:dyDescent="0.3">
      <c r="A141" s="47" t="s">
        <v>588</v>
      </c>
      <c r="B141" s="16" t="s">
        <v>589</v>
      </c>
      <c r="C141" s="27" t="s">
        <v>590</v>
      </c>
      <c r="D141" s="29">
        <v>45881.208518518513</v>
      </c>
      <c r="E141" s="29"/>
      <c r="F141" s="16" t="s">
        <v>122</v>
      </c>
      <c r="G141" s="16" t="s">
        <v>123</v>
      </c>
      <c r="H141" s="16" t="s">
        <v>27</v>
      </c>
      <c r="I141" s="16" t="s">
        <v>175</v>
      </c>
      <c r="J141" s="30" t="s">
        <v>125</v>
      </c>
      <c r="K141" s="16" t="s">
        <v>126</v>
      </c>
      <c r="L141" s="16">
        <f t="shared" si="69"/>
        <v>31.94</v>
      </c>
      <c r="M141" s="31">
        <v>6049313</v>
      </c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E141" s="31"/>
      <c r="AF141" s="32">
        <f t="shared" si="70"/>
        <v>6049313</v>
      </c>
      <c r="AI141" s="31">
        <v>725927</v>
      </c>
      <c r="AJ141" s="31"/>
      <c r="AK141" s="31">
        <v>147400</v>
      </c>
      <c r="AL141" s="31">
        <v>242000</v>
      </c>
      <c r="AM141" s="31"/>
      <c r="AN141" s="31"/>
      <c r="AO141" s="32">
        <f t="shared" si="71"/>
        <v>1115327</v>
      </c>
      <c r="AR141" s="31">
        <v>504109</v>
      </c>
      <c r="AS141" s="31">
        <v>504110</v>
      </c>
      <c r="AT141" s="31">
        <v>85699</v>
      </c>
      <c r="AU141" s="32">
        <f t="shared" si="72"/>
        <v>1093918</v>
      </c>
      <c r="AV141" s="41">
        <f t="shared" si="82"/>
        <v>2269706</v>
      </c>
      <c r="AX141" s="31">
        <v>0</v>
      </c>
      <c r="AY141" s="31">
        <v>0</v>
      </c>
      <c r="AZ141" s="31">
        <v>0</v>
      </c>
      <c r="BA141" s="20">
        <v>0</v>
      </c>
      <c r="BB141" s="31">
        <v>0</v>
      </c>
      <c r="BC141" s="31">
        <f t="shared" si="83"/>
        <v>60461</v>
      </c>
      <c r="BD141" s="35">
        <f t="shared" si="73"/>
        <v>60461</v>
      </c>
      <c r="BF141" s="28">
        <f t="shared" si="84"/>
        <v>11.399999999999999</v>
      </c>
      <c r="BG141" s="28">
        <f t="shared" si="85"/>
        <v>11.007451414961711</v>
      </c>
      <c r="BH141" s="31">
        <f t="shared" si="74"/>
        <v>8352295.0760000004</v>
      </c>
      <c r="BI141" s="31">
        <f t="shared" si="86"/>
        <v>181383</v>
      </c>
      <c r="BJ141" s="40">
        <f t="shared" si="75"/>
        <v>33276.076000000001</v>
      </c>
      <c r="BK141" s="40">
        <f t="shared" si="76"/>
        <v>34462.769999999997</v>
      </c>
      <c r="BL141" s="31">
        <f t="shared" si="77"/>
        <v>8568140.8460000008</v>
      </c>
      <c r="BM141" s="36">
        <v>3023.05</v>
      </c>
      <c r="BN141" s="37">
        <f t="shared" si="78"/>
        <v>2762.87</v>
      </c>
      <c r="BO141" s="37">
        <f t="shared" si="79"/>
        <v>60</v>
      </c>
      <c r="BP141" s="37">
        <f t="shared" si="80"/>
        <v>11.4</v>
      </c>
      <c r="BQ141" s="37">
        <f t="shared" si="81"/>
        <v>2834.27</v>
      </c>
      <c r="BR141" s="38">
        <v>2834.29</v>
      </c>
      <c r="BS141" s="37">
        <f t="shared" si="87"/>
        <v>-1.999999999998181E-2</v>
      </c>
      <c r="BT141" s="46"/>
      <c r="BW141" s="31">
        <f t="shared" si="88"/>
        <v>120922</v>
      </c>
      <c r="BX141" s="31">
        <f t="shared" si="89"/>
        <v>60461</v>
      </c>
    </row>
    <row r="142" spans="1:76" x14ac:dyDescent="0.3">
      <c r="A142" s="47" t="s">
        <v>591</v>
      </c>
      <c r="B142" s="16" t="s">
        <v>592</v>
      </c>
      <c r="C142" s="27" t="s">
        <v>593</v>
      </c>
      <c r="D142" s="29">
        <v>46195.208518518513</v>
      </c>
      <c r="E142" s="29"/>
      <c r="F142" s="16" t="s">
        <v>122</v>
      </c>
      <c r="G142" s="16" t="s">
        <v>123</v>
      </c>
      <c r="H142" s="16" t="s">
        <v>44</v>
      </c>
      <c r="I142" s="16" t="s">
        <v>135</v>
      </c>
      <c r="J142" s="30" t="s">
        <v>125</v>
      </c>
      <c r="K142" s="16" t="s">
        <v>126</v>
      </c>
      <c r="L142" s="16">
        <f t="shared" si="69"/>
        <v>31.94</v>
      </c>
      <c r="M142" s="31">
        <v>6000000</v>
      </c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E142" s="31"/>
      <c r="AF142" s="32">
        <f t="shared" si="70"/>
        <v>6000000</v>
      </c>
      <c r="AI142" s="31">
        <v>720000</v>
      </c>
      <c r="AJ142" s="31"/>
      <c r="AK142" s="31">
        <v>31400</v>
      </c>
      <c r="AL142" s="31">
        <v>240000</v>
      </c>
      <c r="AM142" s="31"/>
      <c r="AN142" s="31"/>
      <c r="AO142" s="32">
        <f t="shared" si="71"/>
        <v>991400</v>
      </c>
      <c r="AR142" s="31">
        <v>500000</v>
      </c>
      <c r="AS142" s="31">
        <v>500000</v>
      </c>
      <c r="AT142" s="31">
        <v>28000</v>
      </c>
      <c r="AU142" s="32">
        <f t="shared" si="72"/>
        <v>1028000</v>
      </c>
      <c r="AV142" s="41">
        <f t="shared" si="82"/>
        <v>2079861</v>
      </c>
      <c r="AX142" s="31">
        <v>0</v>
      </c>
      <c r="AY142" s="31">
        <v>0</v>
      </c>
      <c r="AZ142" s="31">
        <v>0</v>
      </c>
      <c r="BA142" s="20">
        <v>0</v>
      </c>
      <c r="BB142" s="31">
        <v>0</v>
      </c>
      <c r="BC142" s="31">
        <f t="shared" si="83"/>
        <v>60461</v>
      </c>
      <c r="BD142" s="35">
        <f t="shared" si="73"/>
        <v>60461</v>
      </c>
      <c r="BF142" s="28">
        <f t="shared" si="84"/>
        <v>11.399999999999999</v>
      </c>
      <c r="BG142" s="28">
        <f t="shared" si="85"/>
        <v>10.691005441524288</v>
      </c>
      <c r="BH142" s="31">
        <f t="shared" si="74"/>
        <v>8112180.4440000001</v>
      </c>
      <c r="BI142" s="31">
        <f t="shared" si="86"/>
        <v>181383</v>
      </c>
      <c r="BJ142" s="40">
        <f t="shared" si="75"/>
        <v>32319.444</v>
      </c>
      <c r="BK142" s="40">
        <f t="shared" si="76"/>
        <v>34462.769999999997</v>
      </c>
      <c r="BL142" s="31">
        <f t="shared" si="77"/>
        <v>8328026.2139999997</v>
      </c>
      <c r="BM142" s="36">
        <v>3023.05</v>
      </c>
      <c r="BN142" s="37">
        <f t="shared" si="78"/>
        <v>2683.44</v>
      </c>
      <c r="BO142" s="37">
        <f t="shared" si="79"/>
        <v>60</v>
      </c>
      <c r="BP142" s="37">
        <f t="shared" si="80"/>
        <v>11.4</v>
      </c>
      <c r="BQ142" s="37">
        <f t="shared" si="81"/>
        <v>2754.84</v>
      </c>
      <c r="BR142" s="38">
        <v>2754.86</v>
      </c>
      <c r="BS142" s="37">
        <f t="shared" si="87"/>
        <v>-1.999999999998181E-2</v>
      </c>
      <c r="BT142" s="46"/>
      <c r="BW142" s="31">
        <f t="shared" si="88"/>
        <v>120922</v>
      </c>
      <c r="BX142" s="31">
        <f t="shared" si="89"/>
        <v>60461</v>
      </c>
    </row>
    <row r="143" spans="1:76" x14ac:dyDescent="0.3">
      <c r="A143" s="47" t="s">
        <v>594</v>
      </c>
      <c r="B143" s="16" t="s">
        <v>595</v>
      </c>
      <c r="C143" s="39" t="s">
        <v>596</v>
      </c>
      <c r="D143" s="29">
        <v>45520.208518518513</v>
      </c>
      <c r="E143" s="29"/>
      <c r="F143" s="16" t="s">
        <v>122</v>
      </c>
      <c r="G143" s="16" t="s">
        <v>123</v>
      </c>
      <c r="H143" s="16" t="s">
        <v>32</v>
      </c>
      <c r="I143" s="16" t="s">
        <v>156</v>
      </c>
      <c r="J143" s="30" t="s">
        <v>125</v>
      </c>
      <c r="K143" s="16" t="s">
        <v>126</v>
      </c>
      <c r="L143" s="16">
        <f t="shared" si="69"/>
        <v>31.94</v>
      </c>
      <c r="M143" s="31">
        <v>7488000</v>
      </c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E143" s="31"/>
      <c r="AF143" s="32">
        <f t="shared" si="70"/>
        <v>7488000</v>
      </c>
      <c r="AI143" s="31">
        <v>898580</v>
      </c>
      <c r="AJ143" s="31"/>
      <c r="AK143" s="31">
        <v>39100</v>
      </c>
      <c r="AL143" s="31">
        <v>299600</v>
      </c>
      <c r="AM143" s="31"/>
      <c r="AN143" s="31"/>
      <c r="AO143" s="32">
        <f t="shared" si="71"/>
        <v>1237280</v>
      </c>
      <c r="AR143" s="31">
        <v>624000</v>
      </c>
      <c r="AS143" s="31">
        <v>624000</v>
      </c>
      <c r="AT143" s="31">
        <v>106560</v>
      </c>
      <c r="AU143" s="32">
        <f t="shared" si="72"/>
        <v>1354560</v>
      </c>
      <c r="AV143" s="41">
        <f t="shared" si="82"/>
        <v>2652301</v>
      </c>
      <c r="AX143" s="31">
        <v>0</v>
      </c>
      <c r="AY143" s="31">
        <v>0</v>
      </c>
      <c r="AZ143" s="31">
        <v>0</v>
      </c>
      <c r="BA143" s="20">
        <v>0</v>
      </c>
      <c r="BB143" s="31">
        <v>0</v>
      </c>
      <c r="BC143" s="31">
        <f t="shared" si="83"/>
        <v>60461</v>
      </c>
      <c r="BD143" s="35">
        <f t="shared" si="73"/>
        <v>60461</v>
      </c>
      <c r="BF143" s="42">
        <f t="shared" si="84"/>
        <v>11.399999999999999</v>
      </c>
      <c r="BG143" s="42">
        <f t="shared" si="85"/>
        <v>13.417311655447312</v>
      </c>
      <c r="BH143" s="31">
        <f t="shared" si="74"/>
        <v>10180862.204</v>
      </c>
      <c r="BI143" s="31">
        <f t="shared" si="86"/>
        <v>181383</v>
      </c>
      <c r="BJ143" s="31">
        <f t="shared" si="75"/>
        <v>40561.203999999998</v>
      </c>
      <c r="BK143" s="31">
        <f t="shared" si="76"/>
        <v>34462.769999999997</v>
      </c>
      <c r="BL143" s="31">
        <f t="shared" si="77"/>
        <v>10396707.973999999</v>
      </c>
      <c r="BM143" s="36">
        <v>3023.05</v>
      </c>
      <c r="BN143" s="37">
        <f t="shared" si="78"/>
        <v>3367.75</v>
      </c>
      <c r="BO143" s="37">
        <f t="shared" si="79"/>
        <v>60</v>
      </c>
      <c r="BP143" s="37">
        <f t="shared" si="80"/>
        <v>11.4</v>
      </c>
      <c r="BQ143" s="37">
        <f t="shared" si="81"/>
        <v>3439.15</v>
      </c>
      <c r="BR143" s="38">
        <v>3439.16</v>
      </c>
      <c r="BS143" s="37">
        <f t="shared" si="87"/>
        <v>-9.9999999997635314E-3</v>
      </c>
      <c r="BT143" s="46"/>
      <c r="BW143" s="31">
        <f t="shared" si="88"/>
        <v>120922</v>
      </c>
      <c r="BX143" s="31">
        <f t="shared" si="89"/>
        <v>60461</v>
      </c>
    </row>
    <row r="144" spans="1:76" x14ac:dyDescent="0.3">
      <c r="A144" s="47" t="s">
        <v>597</v>
      </c>
      <c r="B144" s="16" t="s">
        <v>598</v>
      </c>
      <c r="C144" s="39" t="s">
        <v>599</v>
      </c>
      <c r="D144" s="29">
        <v>46224.208518518513</v>
      </c>
      <c r="E144" s="29"/>
      <c r="F144" s="16" t="s">
        <v>122</v>
      </c>
      <c r="G144" s="16" t="s">
        <v>123</v>
      </c>
      <c r="H144" s="16" t="s">
        <v>43</v>
      </c>
      <c r="I144" s="16" t="s">
        <v>140</v>
      </c>
      <c r="J144" s="30" t="s">
        <v>125</v>
      </c>
      <c r="K144" s="16" t="s">
        <v>126</v>
      </c>
      <c r="L144" s="16">
        <f t="shared" si="69"/>
        <v>31.94</v>
      </c>
      <c r="M144" s="31">
        <v>4000000</v>
      </c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E144" s="31"/>
      <c r="AF144" s="32">
        <f t="shared" si="70"/>
        <v>4000000</v>
      </c>
      <c r="AI144" s="31">
        <v>480000</v>
      </c>
      <c r="AJ144" s="31"/>
      <c r="AK144" s="31">
        <v>20900</v>
      </c>
      <c r="AL144" s="31">
        <v>160000</v>
      </c>
      <c r="AM144" s="31"/>
      <c r="AN144" s="31"/>
      <c r="AO144" s="32">
        <f t="shared" si="71"/>
        <v>660900</v>
      </c>
      <c r="AR144" s="31">
        <v>333334</v>
      </c>
      <c r="AS144" s="31">
        <v>333334</v>
      </c>
      <c r="AT144" s="31">
        <v>12222</v>
      </c>
      <c r="AU144" s="32">
        <f t="shared" si="72"/>
        <v>678890</v>
      </c>
      <c r="AV144" s="41">
        <f t="shared" si="82"/>
        <v>1400251</v>
      </c>
      <c r="AX144" s="31">
        <v>0</v>
      </c>
      <c r="AY144" s="31">
        <v>0</v>
      </c>
      <c r="AZ144" s="31">
        <v>0</v>
      </c>
      <c r="BA144" s="20">
        <v>0</v>
      </c>
      <c r="BB144" s="31">
        <v>0</v>
      </c>
      <c r="BC144" s="31">
        <f t="shared" si="83"/>
        <v>60461</v>
      </c>
      <c r="BD144" s="35">
        <f t="shared" si="73"/>
        <v>60461</v>
      </c>
      <c r="BF144" s="42">
        <f t="shared" si="84"/>
        <v>11.399999999999999</v>
      </c>
      <c r="BG144" s="42">
        <f t="shared" si="85"/>
        <v>7.1454339160781331</v>
      </c>
      <c r="BH144" s="31">
        <f t="shared" si="74"/>
        <v>5421852.0039999997</v>
      </c>
      <c r="BI144" s="31">
        <f t="shared" si="86"/>
        <v>181383</v>
      </c>
      <c r="BJ144" s="31">
        <f t="shared" si="75"/>
        <v>21601.004000000001</v>
      </c>
      <c r="BK144" s="31">
        <f t="shared" si="76"/>
        <v>34462.769999999997</v>
      </c>
      <c r="BL144" s="31">
        <f t="shared" si="77"/>
        <v>5637697.7739999993</v>
      </c>
      <c r="BM144" s="36">
        <v>3023.05</v>
      </c>
      <c r="BN144" s="37">
        <f t="shared" si="78"/>
        <v>1793.5</v>
      </c>
      <c r="BO144" s="37">
        <f t="shared" si="79"/>
        <v>60</v>
      </c>
      <c r="BP144" s="37">
        <f t="shared" si="80"/>
        <v>11.4</v>
      </c>
      <c r="BQ144" s="37">
        <f t="shared" si="81"/>
        <v>1864.9</v>
      </c>
      <c r="BR144" s="38">
        <v>1864.92</v>
      </c>
      <c r="BS144" s="37">
        <f t="shared" si="87"/>
        <v>-1.999999999998181E-2</v>
      </c>
      <c r="BT144" s="46"/>
      <c r="BW144" s="31">
        <f t="shared" si="88"/>
        <v>120922</v>
      </c>
      <c r="BX144" s="31">
        <f t="shared" si="89"/>
        <v>60461</v>
      </c>
    </row>
    <row r="145" spans="1:76" x14ac:dyDescent="0.3">
      <c r="A145" s="47" t="s">
        <v>600</v>
      </c>
      <c r="B145" s="16" t="s">
        <v>601</v>
      </c>
      <c r="C145" s="27" t="s">
        <v>602</v>
      </c>
      <c r="D145" s="29">
        <v>45840.208518518513</v>
      </c>
      <c r="E145" s="29"/>
      <c r="F145" s="16" t="s">
        <v>122</v>
      </c>
      <c r="G145" s="16" t="s">
        <v>123</v>
      </c>
      <c r="H145" s="16" t="s">
        <v>6</v>
      </c>
      <c r="I145" s="16" t="s">
        <v>603</v>
      </c>
      <c r="J145" s="30" t="s">
        <v>125</v>
      </c>
      <c r="K145" s="16" t="s">
        <v>126</v>
      </c>
      <c r="L145" s="16">
        <f t="shared" si="69"/>
        <v>31.94</v>
      </c>
      <c r="M145" s="31">
        <v>8459662</v>
      </c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E145" s="31"/>
      <c r="AF145" s="32">
        <f t="shared" si="70"/>
        <v>8459662</v>
      </c>
      <c r="AI145" s="31">
        <v>1015214</v>
      </c>
      <c r="AJ145" s="31"/>
      <c r="AK145" s="31">
        <v>206100</v>
      </c>
      <c r="AL145" s="31">
        <v>338400</v>
      </c>
      <c r="AM145" s="31"/>
      <c r="AN145" s="31"/>
      <c r="AO145" s="32">
        <f t="shared" si="71"/>
        <v>1559714</v>
      </c>
      <c r="AR145" s="31">
        <v>704972</v>
      </c>
      <c r="AS145" s="31">
        <v>704971</v>
      </c>
      <c r="AT145" s="31">
        <v>119845</v>
      </c>
      <c r="AU145" s="32">
        <f t="shared" si="72"/>
        <v>1529788</v>
      </c>
      <c r="AV145" s="41">
        <f t="shared" si="82"/>
        <v>3149963</v>
      </c>
      <c r="AX145" s="31">
        <v>0</v>
      </c>
      <c r="AY145" s="31">
        <v>0</v>
      </c>
      <c r="AZ145" s="31">
        <v>0</v>
      </c>
      <c r="BA145" s="20">
        <v>0</v>
      </c>
      <c r="BB145" s="31">
        <v>0</v>
      </c>
      <c r="BC145" s="31">
        <f t="shared" si="83"/>
        <v>60461</v>
      </c>
      <c r="BD145" s="35">
        <f t="shared" si="73"/>
        <v>60461</v>
      </c>
      <c r="BF145" s="28">
        <f t="shared" si="84"/>
        <v>11.399999999999999</v>
      </c>
      <c r="BG145" s="28">
        <f t="shared" si="85"/>
        <v>15.361472684871238</v>
      </c>
      <c r="BH145" s="31">
        <f t="shared" si="74"/>
        <v>11656063.5</v>
      </c>
      <c r="BI145" s="31">
        <f t="shared" si="86"/>
        <v>181383</v>
      </c>
      <c r="BJ145" s="40">
        <f t="shared" si="75"/>
        <v>46438.5</v>
      </c>
      <c r="BK145" s="40">
        <f t="shared" si="76"/>
        <v>34462.769999999997</v>
      </c>
      <c r="BL145" s="31">
        <f t="shared" si="77"/>
        <v>11871909.27</v>
      </c>
      <c r="BM145" s="36">
        <v>3023.05</v>
      </c>
      <c r="BN145" s="37">
        <f t="shared" si="78"/>
        <v>3855.73</v>
      </c>
      <c r="BO145" s="37">
        <f t="shared" si="79"/>
        <v>60</v>
      </c>
      <c r="BP145" s="37">
        <f t="shared" si="80"/>
        <v>11.4</v>
      </c>
      <c r="BQ145" s="37">
        <f t="shared" si="81"/>
        <v>3927.13</v>
      </c>
      <c r="BR145" s="38">
        <v>3927.14</v>
      </c>
      <c r="BS145" s="37">
        <f t="shared" si="87"/>
        <v>-9.9999999997635314E-3</v>
      </c>
      <c r="BT145" s="46"/>
      <c r="BW145" s="31">
        <f t="shared" si="88"/>
        <v>120922</v>
      </c>
      <c r="BX145" s="31">
        <f t="shared" si="89"/>
        <v>60461</v>
      </c>
    </row>
    <row r="146" spans="1:76" x14ac:dyDescent="0.3">
      <c r="A146" s="47" t="s">
        <v>604</v>
      </c>
      <c r="B146" s="16" t="s">
        <v>605</v>
      </c>
      <c r="C146" s="27" t="s">
        <v>606</v>
      </c>
      <c r="D146" s="29">
        <v>46220.208518518513</v>
      </c>
      <c r="E146" s="29"/>
      <c r="F146" s="16" t="s">
        <v>122</v>
      </c>
      <c r="G146" s="16" t="s">
        <v>123</v>
      </c>
      <c r="H146" s="16" t="s">
        <v>36</v>
      </c>
      <c r="I146" s="16" t="s">
        <v>152</v>
      </c>
      <c r="J146" s="30" t="s">
        <v>125</v>
      </c>
      <c r="K146" s="16" t="s">
        <v>126</v>
      </c>
      <c r="L146" s="16">
        <f t="shared" si="69"/>
        <v>31.94</v>
      </c>
      <c r="M146" s="31">
        <v>2527550</v>
      </c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40">
        <v>249095</v>
      </c>
      <c r="AA146" s="31"/>
      <c r="AB146" s="31"/>
      <c r="AC146" s="31"/>
      <c r="AE146" s="31"/>
      <c r="AF146" s="32">
        <f t="shared" si="70"/>
        <v>2776645</v>
      </c>
      <c r="AI146" s="31">
        <v>303398</v>
      </c>
      <c r="AJ146" s="31"/>
      <c r="AK146" s="31">
        <v>13200</v>
      </c>
      <c r="AL146" s="31">
        <v>101200</v>
      </c>
      <c r="AM146" s="31"/>
      <c r="AN146" s="31"/>
      <c r="AO146" s="32">
        <f t="shared" si="71"/>
        <v>417798</v>
      </c>
      <c r="AR146" s="31">
        <v>231387</v>
      </c>
      <c r="AS146" s="31">
        <v>231387</v>
      </c>
      <c r="AT146" s="31">
        <v>9102</v>
      </c>
      <c r="AU146" s="32">
        <f t="shared" si="72"/>
        <v>471876</v>
      </c>
      <c r="AV146" s="41">
        <f t="shared" si="82"/>
        <v>950135</v>
      </c>
      <c r="AX146" s="31">
        <v>0</v>
      </c>
      <c r="AY146" s="31">
        <v>0</v>
      </c>
      <c r="AZ146" s="31">
        <v>0</v>
      </c>
      <c r="BA146" s="20">
        <v>0</v>
      </c>
      <c r="BB146" s="31">
        <v>0</v>
      </c>
      <c r="BC146" s="31">
        <f t="shared" si="83"/>
        <v>60461</v>
      </c>
      <c r="BD146" s="35">
        <f t="shared" si="73"/>
        <v>60461</v>
      </c>
      <c r="BF146" s="28">
        <f t="shared" si="84"/>
        <v>11.399999999999999</v>
      </c>
      <c r="BG146" s="28">
        <f t="shared" si="85"/>
        <v>4.931152313061312</v>
      </c>
      <c r="BH146" s="31">
        <f t="shared" si="74"/>
        <v>3741687.12</v>
      </c>
      <c r="BI146" s="31">
        <f t="shared" si="86"/>
        <v>181383</v>
      </c>
      <c r="BJ146" s="40">
        <f t="shared" si="75"/>
        <v>14907.12</v>
      </c>
      <c r="BK146" s="40">
        <f t="shared" si="76"/>
        <v>34462.769999999997</v>
      </c>
      <c r="BL146" s="31">
        <f t="shared" si="77"/>
        <v>3957532.89</v>
      </c>
      <c r="BM146" s="36">
        <v>3023.05</v>
      </c>
      <c r="BN146" s="37">
        <f t="shared" si="78"/>
        <v>1237.72</v>
      </c>
      <c r="BO146" s="37">
        <f t="shared" si="79"/>
        <v>60</v>
      </c>
      <c r="BP146" s="37">
        <f t="shared" si="80"/>
        <v>11.4</v>
      </c>
      <c r="BQ146" s="37">
        <f t="shared" si="81"/>
        <v>1309.1200000000001</v>
      </c>
      <c r="BR146" s="38">
        <v>1309.1300000000001</v>
      </c>
      <c r="BS146" s="37">
        <f t="shared" si="87"/>
        <v>-9.9999999999909051E-3</v>
      </c>
      <c r="BT146" s="46"/>
      <c r="BW146" s="31">
        <f t="shared" si="88"/>
        <v>120922</v>
      </c>
      <c r="BX146" s="31">
        <f t="shared" si="89"/>
        <v>60461</v>
      </c>
    </row>
    <row r="147" spans="1:76" x14ac:dyDescent="0.3">
      <c r="A147" s="47" t="s">
        <v>607</v>
      </c>
      <c r="B147" s="16" t="s">
        <v>608</v>
      </c>
      <c r="C147" s="39" t="s">
        <v>609</v>
      </c>
      <c r="D147" s="29">
        <v>46132.208518518513</v>
      </c>
      <c r="E147" s="29">
        <v>46269.208518518513</v>
      </c>
      <c r="F147" s="16" t="s">
        <v>610</v>
      </c>
      <c r="G147" s="16" t="s">
        <v>123</v>
      </c>
      <c r="H147" s="16" t="s">
        <v>43</v>
      </c>
      <c r="I147" s="16" t="s">
        <v>140</v>
      </c>
      <c r="J147" s="30" t="s">
        <v>125</v>
      </c>
      <c r="K147" s="16" t="s">
        <v>126</v>
      </c>
      <c r="L147" s="16">
        <f t="shared" si="69"/>
        <v>31.94</v>
      </c>
      <c r="M147" s="40">
        <v>426667</v>
      </c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40">
        <v>33213</v>
      </c>
      <c r="AA147" s="31"/>
      <c r="AB147" s="31"/>
      <c r="AC147" s="31"/>
      <c r="AE147" s="31"/>
      <c r="AF147" s="32">
        <f t="shared" si="70"/>
        <v>459880</v>
      </c>
      <c r="AI147" s="31">
        <v>51233</v>
      </c>
      <c r="AJ147" s="31"/>
      <c r="AK147" s="31">
        <v>2300</v>
      </c>
      <c r="AL147" s="31">
        <v>17100</v>
      </c>
      <c r="AM147" s="31"/>
      <c r="AN147" s="31"/>
      <c r="AO147" s="32">
        <f t="shared" si="71"/>
        <v>70633</v>
      </c>
      <c r="AR147" s="31">
        <v>73879</v>
      </c>
      <c r="AS147" s="31">
        <v>269435</v>
      </c>
      <c r="AT147" s="31">
        <v>27011</v>
      </c>
      <c r="AU147" s="32">
        <f t="shared" si="72"/>
        <v>370325</v>
      </c>
      <c r="AV147" s="41">
        <f t="shared" si="82"/>
        <v>501419</v>
      </c>
      <c r="AX147" s="31">
        <v>0</v>
      </c>
      <c r="AY147" s="31">
        <v>0</v>
      </c>
      <c r="AZ147" s="31">
        <v>0</v>
      </c>
      <c r="BA147" s="20">
        <v>0</v>
      </c>
      <c r="BB147" s="31">
        <v>0</v>
      </c>
      <c r="BC147" s="31">
        <f t="shared" si="83"/>
        <v>60461</v>
      </c>
      <c r="BD147" s="35">
        <f t="shared" si="73"/>
        <v>60461</v>
      </c>
      <c r="BF147" s="42">
        <f t="shared" si="84"/>
        <v>11.399999999999999</v>
      </c>
      <c r="BG147" s="42">
        <f t="shared" si="85"/>
        <v>1.2719591141396933</v>
      </c>
      <c r="BH147" s="31">
        <f t="shared" si="74"/>
        <v>965144.196</v>
      </c>
      <c r="BI147" s="31">
        <f t="shared" si="86"/>
        <v>181383</v>
      </c>
      <c r="BJ147" s="31">
        <f t="shared" si="75"/>
        <v>3845.1959999999999</v>
      </c>
      <c r="BK147" s="31">
        <f t="shared" si="76"/>
        <v>34462.769999999997</v>
      </c>
      <c r="BL147" s="31">
        <f t="shared" si="77"/>
        <v>1180989.966</v>
      </c>
      <c r="BM147" s="36">
        <v>3023.05</v>
      </c>
      <c r="BN147" s="37">
        <f t="shared" si="78"/>
        <v>319.26</v>
      </c>
      <c r="BO147" s="37">
        <f t="shared" si="79"/>
        <v>60</v>
      </c>
      <c r="BP147" s="37">
        <f t="shared" si="80"/>
        <v>11.4</v>
      </c>
      <c r="BQ147" s="37">
        <f t="shared" si="81"/>
        <v>390.65999999999997</v>
      </c>
      <c r="BR147" s="38">
        <v>390.67</v>
      </c>
      <c r="BS147" s="37">
        <f t="shared" si="87"/>
        <v>-1.0000000000047748E-2</v>
      </c>
      <c r="BT147" s="46"/>
      <c r="BW147" s="31">
        <f t="shared" si="88"/>
        <v>120922</v>
      </c>
      <c r="BX147" s="31">
        <f t="shared" si="89"/>
        <v>60461</v>
      </c>
    </row>
    <row r="148" spans="1:76" x14ac:dyDescent="0.3">
      <c r="A148" s="47" t="s">
        <v>611</v>
      </c>
      <c r="B148" s="16" t="s">
        <v>612</v>
      </c>
      <c r="C148" s="39" t="s">
        <v>613</v>
      </c>
      <c r="D148" s="29">
        <v>45721.208518518513</v>
      </c>
      <c r="E148" s="29"/>
      <c r="F148" s="16" t="s">
        <v>122</v>
      </c>
      <c r="G148" s="16" t="s">
        <v>123</v>
      </c>
      <c r="H148" s="16" t="s">
        <v>32</v>
      </c>
      <c r="I148" s="16" t="s">
        <v>156</v>
      </c>
      <c r="J148" s="30" t="s">
        <v>125</v>
      </c>
      <c r="K148" s="16" t="s">
        <v>126</v>
      </c>
      <c r="L148" s="16">
        <f t="shared" si="69"/>
        <v>31.94</v>
      </c>
      <c r="M148" s="31">
        <v>7488000</v>
      </c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E148" s="31"/>
      <c r="AF148" s="32">
        <f t="shared" si="70"/>
        <v>7488000</v>
      </c>
      <c r="AI148" s="31">
        <v>898580</v>
      </c>
      <c r="AJ148" s="31"/>
      <c r="AK148" s="31">
        <v>39100</v>
      </c>
      <c r="AL148" s="31">
        <v>299600</v>
      </c>
      <c r="AM148" s="31"/>
      <c r="AN148" s="31"/>
      <c r="AO148" s="32">
        <f t="shared" si="71"/>
        <v>1237280</v>
      </c>
      <c r="AR148" s="31">
        <v>624000</v>
      </c>
      <c r="AS148" s="31">
        <v>624000</v>
      </c>
      <c r="AT148" s="31">
        <v>106560</v>
      </c>
      <c r="AU148" s="32">
        <f t="shared" si="72"/>
        <v>1354560</v>
      </c>
      <c r="AV148" s="41">
        <f t="shared" si="82"/>
        <v>2652301</v>
      </c>
      <c r="AX148" s="31">
        <v>0</v>
      </c>
      <c r="AY148" s="31">
        <v>0</v>
      </c>
      <c r="AZ148" s="31">
        <v>0</v>
      </c>
      <c r="BA148" s="20">
        <v>0</v>
      </c>
      <c r="BB148" s="31">
        <v>0</v>
      </c>
      <c r="BC148" s="31">
        <f t="shared" si="83"/>
        <v>60461</v>
      </c>
      <c r="BD148" s="35">
        <f t="shared" si="73"/>
        <v>60461</v>
      </c>
      <c r="BF148" s="42">
        <f t="shared" si="84"/>
        <v>11.399999999999999</v>
      </c>
      <c r="BG148" s="42">
        <f t="shared" si="85"/>
        <v>13.417311655447312</v>
      </c>
      <c r="BH148" s="31">
        <f t="shared" si="74"/>
        <v>10180862.204</v>
      </c>
      <c r="BI148" s="31">
        <f t="shared" si="86"/>
        <v>181383</v>
      </c>
      <c r="BJ148" s="31">
        <f t="shared" si="75"/>
        <v>40561.203999999998</v>
      </c>
      <c r="BK148" s="31">
        <f t="shared" si="76"/>
        <v>34462.769999999997</v>
      </c>
      <c r="BL148" s="31">
        <f t="shared" si="77"/>
        <v>10396707.973999999</v>
      </c>
      <c r="BM148" s="36">
        <v>3023.05</v>
      </c>
      <c r="BN148" s="37">
        <f t="shared" si="78"/>
        <v>3367.75</v>
      </c>
      <c r="BO148" s="37">
        <f t="shared" si="79"/>
        <v>60</v>
      </c>
      <c r="BP148" s="37">
        <f t="shared" si="80"/>
        <v>11.4</v>
      </c>
      <c r="BQ148" s="37">
        <f t="shared" si="81"/>
        <v>3439.15</v>
      </c>
      <c r="BR148" s="38">
        <v>3439.16</v>
      </c>
      <c r="BS148" s="37">
        <f t="shared" si="87"/>
        <v>-9.9999999997635314E-3</v>
      </c>
      <c r="BT148" s="46"/>
      <c r="BW148" s="31">
        <f t="shared" si="88"/>
        <v>120922</v>
      </c>
      <c r="BX148" s="31">
        <f t="shared" si="89"/>
        <v>60461</v>
      </c>
    </row>
    <row r="149" spans="1:76" x14ac:dyDescent="0.3">
      <c r="A149" s="47" t="s">
        <v>614</v>
      </c>
      <c r="B149" s="16" t="s">
        <v>615</v>
      </c>
      <c r="C149" s="39" t="s">
        <v>616</v>
      </c>
      <c r="D149" s="29">
        <v>46153.208518518513</v>
      </c>
      <c r="E149" s="29"/>
      <c r="F149" s="16" t="s">
        <v>122</v>
      </c>
      <c r="G149" s="16" t="s">
        <v>123</v>
      </c>
      <c r="H149" s="16" t="s">
        <v>43</v>
      </c>
      <c r="I149" s="16" t="s">
        <v>140</v>
      </c>
      <c r="J149" s="30" t="s">
        <v>125</v>
      </c>
      <c r="K149" s="16" t="s">
        <v>126</v>
      </c>
      <c r="L149" s="16">
        <f t="shared" si="69"/>
        <v>31.94</v>
      </c>
      <c r="M149" s="31">
        <v>3500000</v>
      </c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40">
        <v>207579</v>
      </c>
      <c r="AA149" s="31"/>
      <c r="AB149" s="31"/>
      <c r="AC149" s="31"/>
      <c r="AE149" s="31"/>
      <c r="AF149" s="32">
        <f t="shared" si="70"/>
        <v>3707579</v>
      </c>
      <c r="AI149" s="31">
        <v>420100</v>
      </c>
      <c r="AJ149" s="31"/>
      <c r="AK149" s="31">
        <v>15300</v>
      </c>
      <c r="AL149" s="31">
        <v>140100</v>
      </c>
      <c r="AM149" s="31"/>
      <c r="AN149" s="31"/>
      <c r="AO149" s="32">
        <f t="shared" si="71"/>
        <v>575500</v>
      </c>
      <c r="AR149" s="31">
        <v>308965</v>
      </c>
      <c r="AS149" s="31">
        <v>308965</v>
      </c>
      <c r="AT149" s="31">
        <v>25874</v>
      </c>
      <c r="AU149" s="32">
        <f t="shared" si="72"/>
        <v>643804</v>
      </c>
      <c r="AV149" s="41">
        <f t="shared" si="82"/>
        <v>1279765</v>
      </c>
      <c r="AX149" s="31">
        <v>0</v>
      </c>
      <c r="AY149" s="31">
        <v>0</v>
      </c>
      <c r="AZ149" s="31">
        <v>0</v>
      </c>
      <c r="BA149" s="20">
        <v>0</v>
      </c>
      <c r="BB149" s="31">
        <v>0</v>
      </c>
      <c r="BC149" s="31">
        <f t="shared" si="83"/>
        <v>60461</v>
      </c>
      <c r="BD149" s="35">
        <f t="shared" si="73"/>
        <v>60461</v>
      </c>
      <c r="BF149" s="42">
        <f t="shared" si="84"/>
        <v>11.399999999999999</v>
      </c>
      <c r="BG149" s="42">
        <f t="shared" si="85"/>
        <v>6.5990889995203519</v>
      </c>
      <c r="BH149" s="31">
        <f t="shared" si="74"/>
        <v>5007293.3760000002</v>
      </c>
      <c r="BI149" s="31">
        <f t="shared" si="86"/>
        <v>181383</v>
      </c>
      <c r="BJ149" s="31">
        <f t="shared" si="75"/>
        <v>19949.376</v>
      </c>
      <c r="BK149" s="31">
        <f t="shared" si="76"/>
        <v>34462.769999999997</v>
      </c>
      <c r="BL149" s="31">
        <f t="shared" si="77"/>
        <v>5223139.1459999997</v>
      </c>
      <c r="BM149" s="36">
        <v>3023.05</v>
      </c>
      <c r="BN149" s="37">
        <f t="shared" si="78"/>
        <v>1656.37</v>
      </c>
      <c r="BO149" s="37">
        <f t="shared" si="79"/>
        <v>60</v>
      </c>
      <c r="BP149" s="37">
        <f t="shared" si="80"/>
        <v>11.4</v>
      </c>
      <c r="BQ149" s="37">
        <f t="shared" si="81"/>
        <v>1727.77</v>
      </c>
      <c r="BR149" s="38">
        <v>1727.79</v>
      </c>
      <c r="BS149" s="37">
        <f t="shared" si="87"/>
        <v>-1.999999999998181E-2</v>
      </c>
      <c r="BT149" s="46"/>
      <c r="BW149" s="31">
        <f t="shared" si="88"/>
        <v>120922</v>
      </c>
      <c r="BX149" s="31">
        <f t="shared" si="89"/>
        <v>60461</v>
      </c>
    </row>
    <row r="150" spans="1:76" x14ac:dyDescent="0.3">
      <c r="A150" s="47" t="s">
        <v>617</v>
      </c>
      <c r="B150" s="16" t="s">
        <v>618</v>
      </c>
      <c r="C150" s="39" t="s">
        <v>619</v>
      </c>
      <c r="D150" s="29">
        <v>46244.208518518513</v>
      </c>
      <c r="E150" s="29"/>
      <c r="F150" s="16" t="s">
        <v>122</v>
      </c>
      <c r="G150" s="16" t="s">
        <v>123</v>
      </c>
      <c r="H150" s="16" t="s">
        <v>43</v>
      </c>
      <c r="I150" s="16" t="s">
        <v>140</v>
      </c>
      <c r="J150" s="30" t="s">
        <v>125</v>
      </c>
      <c r="K150" s="16" t="s">
        <v>126</v>
      </c>
      <c r="L150" s="16">
        <f t="shared" si="69"/>
        <v>31.94</v>
      </c>
      <c r="M150" s="31">
        <v>2200000</v>
      </c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40">
        <v>249095</v>
      </c>
      <c r="AA150" s="31"/>
      <c r="AB150" s="31"/>
      <c r="AC150" s="31"/>
      <c r="AE150" s="31"/>
      <c r="AF150" s="32">
        <f t="shared" si="70"/>
        <v>2449095</v>
      </c>
      <c r="AI150" s="31">
        <v>264000</v>
      </c>
      <c r="AJ150" s="31"/>
      <c r="AK150" s="31">
        <v>11500</v>
      </c>
      <c r="AL150" s="31">
        <v>88000</v>
      </c>
      <c r="AM150" s="31"/>
      <c r="AN150" s="31"/>
      <c r="AO150" s="32">
        <f t="shared" si="71"/>
        <v>363500</v>
      </c>
      <c r="AR150" s="31">
        <v>204091</v>
      </c>
      <c r="AS150" s="31">
        <v>204091</v>
      </c>
      <c r="AT150" s="31">
        <v>4898</v>
      </c>
      <c r="AU150" s="32">
        <f t="shared" si="72"/>
        <v>413080</v>
      </c>
      <c r="AV150" s="41">
        <f t="shared" si="82"/>
        <v>837041</v>
      </c>
      <c r="AX150" s="31">
        <v>0</v>
      </c>
      <c r="AY150" s="31">
        <v>0</v>
      </c>
      <c r="AZ150" s="31">
        <v>0</v>
      </c>
      <c r="BA150" s="20">
        <v>0</v>
      </c>
      <c r="BB150" s="31">
        <v>0</v>
      </c>
      <c r="BC150" s="31">
        <f t="shared" si="83"/>
        <v>60461</v>
      </c>
      <c r="BD150" s="35">
        <f t="shared" si="73"/>
        <v>60461</v>
      </c>
      <c r="BF150" s="42">
        <f t="shared" si="84"/>
        <v>11.399999999999999</v>
      </c>
      <c r="BG150" s="42">
        <f t="shared" si="85"/>
        <v>4.3481067134185674</v>
      </c>
      <c r="BH150" s="31">
        <f t="shared" si="74"/>
        <v>3299280.5440000002</v>
      </c>
      <c r="BI150" s="31">
        <f t="shared" si="86"/>
        <v>181383</v>
      </c>
      <c r="BJ150" s="31">
        <f t="shared" si="75"/>
        <v>13144.544</v>
      </c>
      <c r="BK150" s="31">
        <f t="shared" si="76"/>
        <v>34462.769999999997</v>
      </c>
      <c r="BL150" s="31">
        <f t="shared" si="77"/>
        <v>3515126.3140000002</v>
      </c>
      <c r="BM150" s="36">
        <v>3023.05</v>
      </c>
      <c r="BN150" s="37">
        <f t="shared" si="78"/>
        <v>1091.3699999999999</v>
      </c>
      <c r="BO150" s="37">
        <f t="shared" si="79"/>
        <v>60</v>
      </c>
      <c r="BP150" s="37">
        <f t="shared" si="80"/>
        <v>11.4</v>
      </c>
      <c r="BQ150" s="37">
        <f t="shared" si="81"/>
        <v>1162.77</v>
      </c>
      <c r="BR150" s="38">
        <v>1162.79</v>
      </c>
      <c r="BS150" s="37">
        <f t="shared" si="87"/>
        <v>-1.999999999998181E-2</v>
      </c>
      <c r="BT150" s="46"/>
      <c r="BW150" s="31">
        <f t="shared" si="88"/>
        <v>120922</v>
      </c>
      <c r="BX150" s="31">
        <f t="shared" si="89"/>
        <v>60461</v>
      </c>
    </row>
    <row r="151" spans="1:76" x14ac:dyDescent="0.3">
      <c r="A151" s="47" t="s">
        <v>620</v>
      </c>
      <c r="B151" s="16" t="s">
        <v>621</v>
      </c>
      <c r="C151" s="39" t="s">
        <v>622</v>
      </c>
      <c r="D151" s="29">
        <v>45681.208518518513</v>
      </c>
      <c r="E151" s="29"/>
      <c r="F151" s="16" t="s">
        <v>122</v>
      </c>
      <c r="G151" s="16" t="s">
        <v>123</v>
      </c>
      <c r="H151" s="16" t="s">
        <v>15</v>
      </c>
      <c r="I151" s="16" t="s">
        <v>148</v>
      </c>
      <c r="J151" s="30" t="s">
        <v>125</v>
      </c>
      <c r="K151" s="16" t="s">
        <v>126</v>
      </c>
      <c r="L151" s="16">
        <f t="shared" si="69"/>
        <v>31.94</v>
      </c>
      <c r="M151" s="31">
        <v>4500000</v>
      </c>
      <c r="N151" s="31"/>
      <c r="O151" s="31"/>
      <c r="P151" s="31"/>
      <c r="Q151" s="31"/>
      <c r="R151" s="40">
        <v>651429</v>
      </c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E151" s="31"/>
      <c r="AF151" s="32">
        <f t="shared" si="70"/>
        <v>5151429</v>
      </c>
      <c r="AI151" s="31">
        <v>618243</v>
      </c>
      <c r="AJ151" s="31"/>
      <c r="AK151" s="31">
        <v>26900</v>
      </c>
      <c r="AL151" s="31">
        <v>206100</v>
      </c>
      <c r="AM151" s="31"/>
      <c r="AN151" s="31"/>
      <c r="AO151" s="32">
        <f t="shared" si="71"/>
        <v>851243</v>
      </c>
      <c r="AR151" s="31">
        <v>429286</v>
      </c>
      <c r="AS151" s="31">
        <v>429286</v>
      </c>
      <c r="AT151" s="31">
        <v>70597</v>
      </c>
      <c r="AU151" s="32">
        <f t="shared" si="72"/>
        <v>929169</v>
      </c>
      <c r="AV151" s="41">
        <f t="shared" si="82"/>
        <v>1840873</v>
      </c>
      <c r="AX151" s="31">
        <v>0</v>
      </c>
      <c r="AY151" s="31">
        <v>0</v>
      </c>
      <c r="AZ151" s="31">
        <v>0</v>
      </c>
      <c r="BA151" s="20">
        <v>0</v>
      </c>
      <c r="BB151" s="31">
        <v>0</v>
      </c>
      <c r="BC151" s="31">
        <f t="shared" si="83"/>
        <v>60461</v>
      </c>
      <c r="BD151" s="35">
        <f t="shared" si="73"/>
        <v>60461</v>
      </c>
      <c r="BF151" s="42">
        <f t="shared" si="84"/>
        <v>11.399999999999999</v>
      </c>
      <c r="BG151" s="42">
        <f t="shared" si="85"/>
        <v>9.2519832619374469</v>
      </c>
      <c r="BH151" s="31">
        <f t="shared" si="74"/>
        <v>7020271.2079999996</v>
      </c>
      <c r="BI151" s="31">
        <f t="shared" si="86"/>
        <v>181383</v>
      </c>
      <c r="BJ151" s="31">
        <f t="shared" si="75"/>
        <v>27969.208000000002</v>
      </c>
      <c r="BK151" s="31">
        <f t="shared" si="76"/>
        <v>34462.769999999997</v>
      </c>
      <c r="BL151" s="31">
        <f t="shared" si="77"/>
        <v>7236116.9779999992</v>
      </c>
      <c r="BM151" s="36">
        <v>3023.05</v>
      </c>
      <c r="BN151" s="37">
        <f t="shared" si="78"/>
        <v>2322.25</v>
      </c>
      <c r="BO151" s="37">
        <f t="shared" si="79"/>
        <v>60</v>
      </c>
      <c r="BP151" s="37">
        <f t="shared" si="80"/>
        <v>11.4</v>
      </c>
      <c r="BQ151" s="37">
        <f t="shared" si="81"/>
        <v>2393.65</v>
      </c>
      <c r="BR151" s="38">
        <v>2393.66</v>
      </c>
      <c r="BS151" s="37">
        <f t="shared" si="87"/>
        <v>-9.9999999997635314E-3</v>
      </c>
      <c r="BT151" s="46"/>
      <c r="BW151" s="31">
        <f t="shared" si="88"/>
        <v>120922</v>
      </c>
      <c r="BX151" s="31">
        <f t="shared" si="89"/>
        <v>60461</v>
      </c>
    </row>
    <row r="152" spans="1:76" x14ac:dyDescent="0.3">
      <c r="A152" s="47" t="s">
        <v>623</v>
      </c>
      <c r="B152" s="16" t="s">
        <v>624</v>
      </c>
      <c r="C152" s="27" t="s">
        <v>625</v>
      </c>
      <c r="D152" s="29">
        <v>45139.208518518513</v>
      </c>
      <c r="E152" s="29"/>
      <c r="F152" s="16" t="s">
        <v>122</v>
      </c>
      <c r="G152" s="16" t="s">
        <v>123</v>
      </c>
      <c r="H152" s="16" t="s">
        <v>11</v>
      </c>
      <c r="I152" s="16" t="s">
        <v>626</v>
      </c>
      <c r="J152" s="30" t="s">
        <v>125</v>
      </c>
      <c r="K152" s="16" t="s">
        <v>126</v>
      </c>
      <c r="L152" s="16">
        <f t="shared" si="69"/>
        <v>31.94</v>
      </c>
      <c r="M152" s="31">
        <v>10181477</v>
      </c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E152" s="31"/>
      <c r="AF152" s="32">
        <f t="shared" si="70"/>
        <v>10181477</v>
      </c>
      <c r="AI152" s="31">
        <v>1221841</v>
      </c>
      <c r="AJ152" s="31"/>
      <c r="AK152" s="31">
        <v>248100</v>
      </c>
      <c r="AL152" s="31">
        <v>407300</v>
      </c>
      <c r="AM152" s="31"/>
      <c r="AN152" s="31"/>
      <c r="AO152" s="32">
        <f t="shared" si="71"/>
        <v>1877241</v>
      </c>
      <c r="AR152" s="31">
        <v>848456</v>
      </c>
      <c r="AS152" s="31">
        <v>848457</v>
      </c>
      <c r="AT152" s="31">
        <v>144238</v>
      </c>
      <c r="AU152" s="32">
        <f t="shared" si="72"/>
        <v>1841151</v>
      </c>
      <c r="AV152" s="41">
        <f t="shared" si="82"/>
        <v>3778853</v>
      </c>
      <c r="AX152" s="31">
        <v>0</v>
      </c>
      <c r="AY152" s="31">
        <v>0</v>
      </c>
      <c r="AZ152" s="31">
        <v>0</v>
      </c>
      <c r="BA152" s="20">
        <v>0</v>
      </c>
      <c r="BB152" s="31">
        <v>0</v>
      </c>
      <c r="BC152" s="31">
        <f t="shared" si="83"/>
        <v>60461</v>
      </c>
      <c r="BD152" s="35">
        <f t="shared" si="73"/>
        <v>60461</v>
      </c>
      <c r="BF152" s="28">
        <f t="shared" si="84"/>
        <v>11.399999999999999</v>
      </c>
      <c r="BG152" s="28">
        <f t="shared" si="85"/>
        <v>18.471847968111675</v>
      </c>
      <c r="BH152" s="31">
        <f t="shared" si="74"/>
        <v>14016171.32</v>
      </c>
      <c r="BI152" s="31">
        <f t="shared" si="86"/>
        <v>181383</v>
      </c>
      <c r="BJ152" s="40">
        <f t="shared" si="75"/>
        <v>55841.32</v>
      </c>
      <c r="BK152" s="40">
        <f t="shared" si="76"/>
        <v>34462.769999999997</v>
      </c>
      <c r="BL152" s="31">
        <f t="shared" si="77"/>
        <v>14232017.09</v>
      </c>
      <c r="BM152" s="36">
        <v>3023.05</v>
      </c>
      <c r="BN152" s="37">
        <f t="shared" si="78"/>
        <v>4636.43</v>
      </c>
      <c r="BO152" s="37">
        <f t="shared" si="79"/>
        <v>60</v>
      </c>
      <c r="BP152" s="37">
        <f t="shared" si="80"/>
        <v>11.4</v>
      </c>
      <c r="BQ152" s="37">
        <f t="shared" si="81"/>
        <v>4707.83</v>
      </c>
      <c r="BR152" s="38">
        <v>4707.8500000000004</v>
      </c>
      <c r="BS152" s="37">
        <f t="shared" si="87"/>
        <v>-2.0000000000436557E-2</v>
      </c>
      <c r="BT152" s="46"/>
      <c r="BW152" s="31">
        <f t="shared" si="88"/>
        <v>120922</v>
      </c>
      <c r="BX152" s="31">
        <f t="shared" si="89"/>
        <v>60461</v>
      </c>
    </row>
    <row r="153" spans="1:76" x14ac:dyDescent="0.3">
      <c r="A153" s="47" t="s">
        <v>627</v>
      </c>
      <c r="B153" s="16" t="s">
        <v>628</v>
      </c>
      <c r="C153" s="27" t="s">
        <v>629</v>
      </c>
      <c r="D153" s="29">
        <v>45792.208518518513</v>
      </c>
      <c r="E153" s="29"/>
      <c r="F153" s="16" t="s">
        <v>122</v>
      </c>
      <c r="G153" s="16" t="s">
        <v>123</v>
      </c>
      <c r="H153" s="16" t="s">
        <v>37</v>
      </c>
      <c r="I153" s="16" t="s">
        <v>630</v>
      </c>
      <c r="J153" s="30" t="s">
        <v>125</v>
      </c>
      <c r="K153" s="16" t="s">
        <v>126</v>
      </c>
      <c r="L153" s="16">
        <f t="shared" si="69"/>
        <v>31.94</v>
      </c>
      <c r="M153" s="31">
        <v>26250000</v>
      </c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>
        <v>1256993</v>
      </c>
      <c r="Y153" s="31"/>
      <c r="Z153" s="31"/>
      <c r="AA153" s="31"/>
      <c r="AB153" s="31"/>
      <c r="AC153" s="31"/>
      <c r="AE153" s="31"/>
      <c r="AF153" s="32">
        <f t="shared" si="70"/>
        <v>27506993</v>
      </c>
      <c r="AI153" s="31">
        <v>3150000</v>
      </c>
      <c r="AJ153" s="31">
        <v>2231300</v>
      </c>
      <c r="AK153" s="31">
        <v>639500</v>
      </c>
      <c r="AL153" s="31">
        <v>1050000</v>
      </c>
      <c r="AM153" s="31">
        <v>525000</v>
      </c>
      <c r="AN153" s="31">
        <v>787500</v>
      </c>
      <c r="AO153" s="32">
        <f t="shared" si="71"/>
        <v>8383300</v>
      </c>
      <c r="AR153" s="31">
        <v>2187500</v>
      </c>
      <c r="AS153" s="31">
        <v>2187500</v>
      </c>
      <c r="AT153" s="31">
        <v>371875</v>
      </c>
      <c r="AU153" s="32">
        <f t="shared" si="72"/>
        <v>4746875</v>
      </c>
      <c r="AV153" s="41">
        <f t="shared" si="82"/>
        <v>13190636</v>
      </c>
      <c r="AX153" s="31">
        <v>0</v>
      </c>
      <c r="AY153" s="31">
        <v>0</v>
      </c>
      <c r="AZ153" s="31">
        <v>0</v>
      </c>
      <c r="BA153" s="20">
        <v>0</v>
      </c>
      <c r="BB153" s="31">
        <v>0</v>
      </c>
      <c r="BC153" s="31">
        <f t="shared" si="83"/>
        <v>60461</v>
      </c>
      <c r="BD153" s="35">
        <f t="shared" si="73"/>
        <v>60461</v>
      </c>
      <c r="BF153" s="28">
        <f t="shared" si="84"/>
        <v>11.399999999999999</v>
      </c>
      <c r="BG153" s="28">
        <f t="shared" si="85"/>
        <v>53.849759679793586</v>
      </c>
      <c r="BH153" s="31">
        <f t="shared" si="74"/>
        <v>40860419.516000003</v>
      </c>
      <c r="BI153" s="31">
        <f t="shared" si="86"/>
        <v>181383</v>
      </c>
      <c r="BJ153" s="40">
        <f t="shared" si="75"/>
        <v>162790.516</v>
      </c>
      <c r="BK153" s="40">
        <f t="shared" si="76"/>
        <v>34462.769999999997</v>
      </c>
      <c r="BL153" s="31">
        <f t="shared" si="77"/>
        <v>41076265.286000006</v>
      </c>
      <c r="BM153" s="36">
        <v>3023.05</v>
      </c>
      <c r="BN153" s="37">
        <f t="shared" si="78"/>
        <v>13516.29</v>
      </c>
      <c r="BO153" s="37">
        <f t="shared" si="79"/>
        <v>60</v>
      </c>
      <c r="BP153" s="37">
        <f t="shared" si="80"/>
        <v>11.4</v>
      </c>
      <c r="BQ153" s="37">
        <f t="shared" si="81"/>
        <v>13587.69</v>
      </c>
      <c r="BR153" s="38">
        <v>13587.71</v>
      </c>
      <c r="BS153" s="37">
        <f t="shared" si="87"/>
        <v>-1.9999999998617568E-2</v>
      </c>
      <c r="BT153" s="46"/>
      <c r="BW153" s="31">
        <f t="shared" si="88"/>
        <v>120922</v>
      </c>
      <c r="BX153" s="31">
        <f t="shared" si="89"/>
        <v>60461</v>
      </c>
    </row>
    <row r="154" spans="1:76" x14ac:dyDescent="0.3">
      <c r="A154" s="47" t="s">
        <v>631</v>
      </c>
      <c r="B154" s="16" t="s">
        <v>632</v>
      </c>
      <c r="C154" s="39" t="s">
        <v>633</v>
      </c>
      <c r="D154" s="29">
        <v>46189.208518518513</v>
      </c>
      <c r="E154" s="29"/>
      <c r="F154" s="16" t="s">
        <v>122</v>
      </c>
      <c r="G154" s="16" t="s">
        <v>123</v>
      </c>
      <c r="H154" s="16" t="s">
        <v>15</v>
      </c>
      <c r="I154" s="16" t="s">
        <v>148</v>
      </c>
      <c r="J154" s="30" t="s">
        <v>125</v>
      </c>
      <c r="K154" s="16" t="s">
        <v>126</v>
      </c>
      <c r="L154" s="16">
        <f t="shared" si="69"/>
        <v>31.94</v>
      </c>
      <c r="M154" s="31">
        <v>5000000</v>
      </c>
      <c r="N154" s="31"/>
      <c r="O154" s="31"/>
      <c r="P154" s="31"/>
      <c r="Q154" s="31"/>
      <c r="R154" s="40">
        <v>723810</v>
      </c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E154" s="31"/>
      <c r="AF154" s="32">
        <f t="shared" si="70"/>
        <v>5723810</v>
      </c>
      <c r="AI154" s="31">
        <v>686948</v>
      </c>
      <c r="AJ154" s="31"/>
      <c r="AK154" s="31">
        <v>29900</v>
      </c>
      <c r="AL154" s="31">
        <v>229000</v>
      </c>
      <c r="AM154" s="31"/>
      <c r="AN154" s="31"/>
      <c r="AO154" s="32">
        <f t="shared" si="71"/>
        <v>945848</v>
      </c>
      <c r="AR154" s="31">
        <v>476984</v>
      </c>
      <c r="AS154" s="31">
        <v>476984</v>
      </c>
      <c r="AT154" s="31">
        <v>27987</v>
      </c>
      <c r="AU154" s="32">
        <f t="shared" si="72"/>
        <v>981955</v>
      </c>
      <c r="AV154" s="41">
        <f t="shared" si="82"/>
        <v>1988264</v>
      </c>
      <c r="AX154" s="31">
        <v>0</v>
      </c>
      <c r="AY154" s="31">
        <v>0</v>
      </c>
      <c r="AZ154" s="31">
        <v>0</v>
      </c>
      <c r="BA154" s="20">
        <v>0</v>
      </c>
      <c r="BB154" s="31">
        <v>0</v>
      </c>
      <c r="BC154" s="31">
        <f t="shared" si="83"/>
        <v>60461</v>
      </c>
      <c r="BD154" s="35">
        <f t="shared" si="73"/>
        <v>60461</v>
      </c>
      <c r="BF154" s="42">
        <f t="shared" si="84"/>
        <v>11.399999999999999</v>
      </c>
      <c r="BG154" s="42">
        <f t="shared" si="85"/>
        <v>10.204361820016208</v>
      </c>
      <c r="BH154" s="31">
        <f t="shared" si="74"/>
        <v>7742922.2960000001</v>
      </c>
      <c r="BI154" s="31">
        <f t="shared" si="86"/>
        <v>181383</v>
      </c>
      <c r="BJ154" s="31">
        <f t="shared" si="75"/>
        <v>30848.296000000002</v>
      </c>
      <c r="BK154" s="31">
        <f t="shared" si="76"/>
        <v>34462.769999999997</v>
      </c>
      <c r="BL154" s="31">
        <f t="shared" si="77"/>
        <v>7958768.0659999996</v>
      </c>
      <c r="BM154" s="36">
        <v>3023.05</v>
      </c>
      <c r="BN154" s="37">
        <f t="shared" si="78"/>
        <v>2561.29</v>
      </c>
      <c r="BO154" s="37">
        <f t="shared" si="79"/>
        <v>60</v>
      </c>
      <c r="BP154" s="37">
        <f t="shared" si="80"/>
        <v>11.4</v>
      </c>
      <c r="BQ154" s="37">
        <f t="shared" si="81"/>
        <v>2632.69</v>
      </c>
      <c r="BR154" s="38">
        <v>2632.71</v>
      </c>
      <c r="BS154" s="37">
        <f t="shared" si="87"/>
        <v>-1.999999999998181E-2</v>
      </c>
      <c r="BT154" s="46"/>
      <c r="BW154" s="31">
        <f t="shared" si="88"/>
        <v>120922</v>
      </c>
      <c r="BX154" s="31">
        <f t="shared" si="89"/>
        <v>60461</v>
      </c>
    </row>
    <row r="155" spans="1:76" x14ac:dyDescent="0.3">
      <c r="A155" s="47" t="s">
        <v>634</v>
      </c>
      <c r="B155" s="16" t="s">
        <v>635</v>
      </c>
      <c r="C155" s="39" t="s">
        <v>636</v>
      </c>
      <c r="D155" s="29">
        <v>45748.208518518513</v>
      </c>
      <c r="E155" s="29"/>
      <c r="F155" s="16" t="s">
        <v>122</v>
      </c>
      <c r="G155" s="16" t="s">
        <v>123</v>
      </c>
      <c r="H155" s="16" t="s">
        <v>47</v>
      </c>
      <c r="I155" s="16" t="s">
        <v>268</v>
      </c>
      <c r="J155" s="30" t="s">
        <v>125</v>
      </c>
      <c r="K155" s="16" t="s">
        <v>126</v>
      </c>
      <c r="L155" s="16">
        <f t="shared" si="69"/>
        <v>31.94</v>
      </c>
      <c r="M155" s="31">
        <v>9113825</v>
      </c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E155" s="31"/>
      <c r="AF155" s="32">
        <f t="shared" si="70"/>
        <v>9113825</v>
      </c>
      <c r="AI155" s="31">
        <v>1093747</v>
      </c>
      <c r="AJ155" s="31"/>
      <c r="AK155" s="31">
        <v>222100</v>
      </c>
      <c r="AL155" s="31">
        <v>364600</v>
      </c>
      <c r="AM155" s="31"/>
      <c r="AN155" s="31"/>
      <c r="AO155" s="32">
        <f t="shared" si="71"/>
        <v>1680447</v>
      </c>
      <c r="AR155" s="31">
        <v>759485</v>
      </c>
      <c r="AS155" s="31">
        <v>759486</v>
      </c>
      <c r="AT155" s="31">
        <v>129112</v>
      </c>
      <c r="AU155" s="32">
        <f t="shared" si="72"/>
        <v>1648083</v>
      </c>
      <c r="AV155" s="34">
        <f t="shared" si="82"/>
        <v>3388991</v>
      </c>
      <c r="AX155" s="31">
        <v>0</v>
      </c>
      <c r="AY155" s="31">
        <v>454263</v>
      </c>
      <c r="AZ155" s="31">
        <v>0</v>
      </c>
      <c r="BA155" s="20">
        <v>0</v>
      </c>
      <c r="BB155" s="31">
        <v>0</v>
      </c>
      <c r="BC155" s="31">
        <f t="shared" si="83"/>
        <v>60461</v>
      </c>
      <c r="BD155" s="35">
        <f t="shared" si="73"/>
        <v>514724</v>
      </c>
      <c r="BF155" s="42">
        <f t="shared" si="84"/>
        <v>11.399999999999999</v>
      </c>
      <c r="BG155" s="42">
        <f t="shared" si="85"/>
        <v>17.144379351978959</v>
      </c>
      <c r="BH155" s="31">
        <f t="shared" si="74"/>
        <v>13008907.316</v>
      </c>
      <c r="BI155" s="31">
        <f t="shared" si="86"/>
        <v>181383</v>
      </c>
      <c r="BJ155" s="31">
        <f t="shared" si="75"/>
        <v>51828.315999999999</v>
      </c>
      <c r="BK155" s="31">
        <f t="shared" si="76"/>
        <v>34462.769999999997</v>
      </c>
      <c r="BL155" s="31">
        <f t="shared" si="77"/>
        <v>13224753.085999999</v>
      </c>
      <c r="BM155" s="36">
        <v>3023.05</v>
      </c>
      <c r="BN155" s="37">
        <f t="shared" si="78"/>
        <v>4303.24</v>
      </c>
      <c r="BO155" s="37">
        <f t="shared" si="79"/>
        <v>60</v>
      </c>
      <c r="BP155" s="37">
        <f t="shared" si="80"/>
        <v>11.4</v>
      </c>
      <c r="BQ155" s="37">
        <f t="shared" si="81"/>
        <v>4374.6399999999994</v>
      </c>
      <c r="BR155" s="38">
        <v>4374.66</v>
      </c>
      <c r="BS155" s="37">
        <f t="shared" si="87"/>
        <v>-2.0000000000436557E-2</v>
      </c>
      <c r="BT155" s="46"/>
      <c r="BW155" s="31">
        <f t="shared" si="88"/>
        <v>120922</v>
      </c>
      <c r="BX155" s="31">
        <f t="shared" si="89"/>
        <v>60461</v>
      </c>
    </row>
    <row r="156" spans="1:76" x14ac:dyDescent="0.3">
      <c r="A156" s="47" t="s">
        <v>637</v>
      </c>
      <c r="B156" s="16" t="s">
        <v>638</v>
      </c>
      <c r="C156" s="27" t="s">
        <v>639</v>
      </c>
      <c r="D156" s="29">
        <v>46128.208518518513</v>
      </c>
      <c r="E156" s="29"/>
      <c r="F156" s="16" t="s">
        <v>122</v>
      </c>
      <c r="G156" s="16" t="s">
        <v>123</v>
      </c>
      <c r="H156" s="16" t="s">
        <v>20</v>
      </c>
      <c r="I156" s="16" t="s">
        <v>214</v>
      </c>
      <c r="J156" s="30" t="s">
        <v>125</v>
      </c>
      <c r="K156" s="16" t="s">
        <v>126</v>
      </c>
      <c r="L156" s="16">
        <f t="shared" si="69"/>
        <v>31.94</v>
      </c>
      <c r="M156" s="31">
        <v>12500000</v>
      </c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>
        <v>430000</v>
      </c>
      <c r="AB156" s="31"/>
      <c r="AC156" s="31"/>
      <c r="AE156" s="31"/>
      <c r="AF156" s="32">
        <f t="shared" si="70"/>
        <v>12930000</v>
      </c>
      <c r="AI156" s="31">
        <v>1500000</v>
      </c>
      <c r="AJ156" s="31"/>
      <c r="AK156" s="31">
        <v>304500</v>
      </c>
      <c r="AL156" s="31">
        <v>500000</v>
      </c>
      <c r="AM156" s="31"/>
      <c r="AN156" s="31"/>
      <c r="AO156" s="32">
        <f t="shared" si="71"/>
        <v>2304500</v>
      </c>
      <c r="AR156" s="31">
        <v>1041667</v>
      </c>
      <c r="AS156" s="31">
        <v>1041667</v>
      </c>
      <c r="AT156" s="31">
        <v>104166</v>
      </c>
      <c r="AU156" s="32">
        <f t="shared" si="72"/>
        <v>2187500</v>
      </c>
      <c r="AV156" s="41">
        <f t="shared" si="82"/>
        <v>4552461</v>
      </c>
      <c r="AX156" s="31">
        <v>0</v>
      </c>
      <c r="AY156" s="31">
        <v>0</v>
      </c>
      <c r="AZ156" s="31">
        <v>0</v>
      </c>
      <c r="BA156" s="20">
        <v>0</v>
      </c>
      <c r="BB156" s="31">
        <v>0</v>
      </c>
      <c r="BC156" s="31">
        <f t="shared" si="83"/>
        <v>60461</v>
      </c>
      <c r="BD156" s="35">
        <f t="shared" si="73"/>
        <v>60461</v>
      </c>
      <c r="BF156" s="28">
        <f t="shared" si="84"/>
        <v>11.399999999999999</v>
      </c>
      <c r="BG156" s="28">
        <f t="shared" si="85"/>
        <v>23.132215477745984</v>
      </c>
      <c r="BH156" s="31">
        <f t="shared" si="74"/>
        <v>17552390.844000001</v>
      </c>
      <c r="BI156" s="31">
        <f t="shared" si="86"/>
        <v>181383</v>
      </c>
      <c r="BJ156" s="40">
        <f t="shared" si="75"/>
        <v>69929.843999999997</v>
      </c>
      <c r="BK156" s="40">
        <f t="shared" si="76"/>
        <v>34462.769999999997</v>
      </c>
      <c r="BL156" s="31">
        <f t="shared" si="77"/>
        <v>17768236.614</v>
      </c>
      <c r="BM156" s="36">
        <v>3023.05</v>
      </c>
      <c r="BN156" s="37">
        <f t="shared" si="78"/>
        <v>5806.19</v>
      </c>
      <c r="BO156" s="37">
        <f t="shared" si="79"/>
        <v>60</v>
      </c>
      <c r="BP156" s="37">
        <f t="shared" si="80"/>
        <v>11.4</v>
      </c>
      <c r="BQ156" s="37">
        <f t="shared" si="81"/>
        <v>5877.5899999999992</v>
      </c>
      <c r="BR156" s="38">
        <v>5877.6</v>
      </c>
      <c r="BS156" s="37">
        <f t="shared" si="87"/>
        <v>-1.0000000001127773E-2</v>
      </c>
      <c r="BT156" s="46"/>
      <c r="BW156" s="31">
        <f t="shared" si="88"/>
        <v>120922</v>
      </c>
      <c r="BX156" s="31">
        <f t="shared" si="89"/>
        <v>60461</v>
      </c>
    </row>
    <row r="157" spans="1:76" x14ac:dyDescent="0.3">
      <c r="A157" s="47" t="s">
        <v>640</v>
      </c>
      <c r="B157" s="16" t="s">
        <v>641</v>
      </c>
      <c r="C157" s="27" t="s">
        <v>642</v>
      </c>
      <c r="D157" s="29">
        <v>46082.208518518513</v>
      </c>
      <c r="E157" s="29"/>
      <c r="F157" s="16" t="s">
        <v>122</v>
      </c>
      <c r="G157" s="16" t="s">
        <v>123</v>
      </c>
      <c r="H157" s="16" t="s">
        <v>17</v>
      </c>
      <c r="I157" s="16" t="s">
        <v>264</v>
      </c>
      <c r="J157" s="30" t="s">
        <v>125</v>
      </c>
      <c r="K157" s="16" t="s">
        <v>126</v>
      </c>
      <c r="L157" s="16">
        <f t="shared" si="69"/>
        <v>31.94</v>
      </c>
      <c r="M157" s="31">
        <v>5300000</v>
      </c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E157" s="31"/>
      <c r="AF157" s="32">
        <f t="shared" si="70"/>
        <v>5300000</v>
      </c>
      <c r="AI157" s="31">
        <v>636000</v>
      </c>
      <c r="AJ157" s="31"/>
      <c r="AK157" s="31">
        <v>129200</v>
      </c>
      <c r="AL157" s="31">
        <v>212000</v>
      </c>
      <c r="AM157" s="31"/>
      <c r="AN157" s="31"/>
      <c r="AO157" s="32">
        <f t="shared" si="71"/>
        <v>977200</v>
      </c>
      <c r="AR157" s="31">
        <v>441667</v>
      </c>
      <c r="AS157" s="31">
        <v>441667</v>
      </c>
      <c r="AT157" s="31">
        <v>57417</v>
      </c>
      <c r="AU157" s="32">
        <f t="shared" si="72"/>
        <v>940751</v>
      </c>
      <c r="AV157" s="41">
        <f t="shared" si="82"/>
        <v>1978412</v>
      </c>
      <c r="AX157" s="31">
        <v>0</v>
      </c>
      <c r="AY157" s="31">
        <v>0</v>
      </c>
      <c r="AZ157" s="31">
        <v>0</v>
      </c>
      <c r="BA157" s="20">
        <v>0</v>
      </c>
      <c r="BB157" s="31">
        <v>0</v>
      </c>
      <c r="BC157" s="31">
        <f t="shared" si="83"/>
        <v>60461</v>
      </c>
      <c r="BD157" s="35">
        <f t="shared" si="73"/>
        <v>60461</v>
      </c>
      <c r="BF157" s="28">
        <f t="shared" si="84"/>
        <v>11.399999999999999</v>
      </c>
      <c r="BG157" s="28">
        <f t="shared" si="85"/>
        <v>9.6305545723689647</v>
      </c>
      <c r="BH157" s="31">
        <f t="shared" si="74"/>
        <v>7307525.648</v>
      </c>
      <c r="BI157" s="31">
        <f t="shared" si="86"/>
        <v>181383</v>
      </c>
      <c r="BJ157" s="40">
        <f t="shared" si="75"/>
        <v>29113.648000000001</v>
      </c>
      <c r="BK157" s="40">
        <f t="shared" si="76"/>
        <v>34462.769999999997</v>
      </c>
      <c r="BL157" s="31">
        <f t="shared" si="77"/>
        <v>7523371.4179999996</v>
      </c>
      <c r="BM157" s="36">
        <v>3023.05</v>
      </c>
      <c r="BN157" s="37">
        <f t="shared" si="78"/>
        <v>2417.27</v>
      </c>
      <c r="BO157" s="37">
        <f t="shared" si="79"/>
        <v>60</v>
      </c>
      <c r="BP157" s="37">
        <f t="shared" si="80"/>
        <v>11.4</v>
      </c>
      <c r="BQ157" s="37">
        <f t="shared" si="81"/>
        <v>2488.67</v>
      </c>
      <c r="BR157" s="38">
        <v>2488.6799999999998</v>
      </c>
      <c r="BS157" s="37">
        <f t="shared" si="87"/>
        <v>-9.9999999997635314E-3</v>
      </c>
      <c r="BT157" s="46"/>
      <c r="BW157" s="31">
        <f t="shared" si="88"/>
        <v>120922</v>
      </c>
      <c r="BX157" s="31">
        <f t="shared" si="89"/>
        <v>60461</v>
      </c>
    </row>
    <row r="158" spans="1:76" x14ac:dyDescent="0.3">
      <c r="A158" s="47" t="s">
        <v>643</v>
      </c>
      <c r="B158" s="16" t="s">
        <v>644</v>
      </c>
      <c r="C158" s="27" t="s">
        <v>645</v>
      </c>
      <c r="D158" s="29">
        <v>45881.208518518513</v>
      </c>
      <c r="E158" s="29"/>
      <c r="F158" s="16" t="s">
        <v>122</v>
      </c>
      <c r="G158" s="16" t="s">
        <v>123</v>
      </c>
      <c r="H158" s="16" t="s">
        <v>27</v>
      </c>
      <c r="I158" s="16" t="s">
        <v>175</v>
      </c>
      <c r="J158" s="30" t="s">
        <v>125</v>
      </c>
      <c r="K158" s="16" t="s">
        <v>126</v>
      </c>
      <c r="L158" s="16">
        <f t="shared" si="69"/>
        <v>31.94</v>
      </c>
      <c r="M158" s="31">
        <v>6049313</v>
      </c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E158" s="31"/>
      <c r="AF158" s="32">
        <f t="shared" si="70"/>
        <v>6049313</v>
      </c>
      <c r="AI158" s="31">
        <v>725927</v>
      </c>
      <c r="AJ158" s="31"/>
      <c r="AK158" s="31">
        <v>147400</v>
      </c>
      <c r="AL158" s="31">
        <v>242000</v>
      </c>
      <c r="AM158" s="31"/>
      <c r="AN158" s="31"/>
      <c r="AO158" s="32">
        <f t="shared" si="71"/>
        <v>1115327</v>
      </c>
      <c r="AR158" s="31">
        <v>504109</v>
      </c>
      <c r="AS158" s="31">
        <v>504110</v>
      </c>
      <c r="AT158" s="31">
        <v>85699</v>
      </c>
      <c r="AU158" s="32">
        <f t="shared" si="72"/>
        <v>1093918</v>
      </c>
      <c r="AV158" s="41">
        <f t="shared" si="82"/>
        <v>2269706</v>
      </c>
      <c r="AX158" s="31">
        <v>0</v>
      </c>
      <c r="AY158" s="31">
        <v>0</v>
      </c>
      <c r="AZ158" s="31">
        <v>0</v>
      </c>
      <c r="BA158" s="20">
        <v>0</v>
      </c>
      <c r="BB158" s="31">
        <v>0</v>
      </c>
      <c r="BC158" s="31">
        <f t="shared" si="83"/>
        <v>60461</v>
      </c>
      <c r="BD158" s="35">
        <f t="shared" si="73"/>
        <v>60461</v>
      </c>
      <c r="BF158" s="28">
        <f t="shared" si="84"/>
        <v>11.399999999999999</v>
      </c>
      <c r="BG158" s="28">
        <f t="shared" si="85"/>
        <v>11.007451414961711</v>
      </c>
      <c r="BH158" s="31">
        <f t="shared" si="74"/>
        <v>8352295.0760000004</v>
      </c>
      <c r="BI158" s="31">
        <f t="shared" si="86"/>
        <v>181383</v>
      </c>
      <c r="BJ158" s="40">
        <f t="shared" si="75"/>
        <v>33276.076000000001</v>
      </c>
      <c r="BK158" s="40">
        <f t="shared" si="76"/>
        <v>34462.769999999997</v>
      </c>
      <c r="BL158" s="31">
        <f t="shared" si="77"/>
        <v>8568140.8460000008</v>
      </c>
      <c r="BM158" s="36">
        <v>3023.05</v>
      </c>
      <c r="BN158" s="37">
        <f t="shared" si="78"/>
        <v>2762.87</v>
      </c>
      <c r="BO158" s="37">
        <f t="shared" si="79"/>
        <v>60</v>
      </c>
      <c r="BP158" s="37">
        <f t="shared" si="80"/>
        <v>11.4</v>
      </c>
      <c r="BQ158" s="37">
        <f t="shared" si="81"/>
        <v>2834.27</v>
      </c>
      <c r="BR158" s="38">
        <v>2834.29</v>
      </c>
      <c r="BS158" s="37">
        <f t="shared" si="87"/>
        <v>-1.999999999998181E-2</v>
      </c>
      <c r="BT158" s="46"/>
      <c r="BW158" s="31">
        <f t="shared" si="88"/>
        <v>120922</v>
      </c>
      <c r="BX158" s="31">
        <f t="shared" si="89"/>
        <v>60461</v>
      </c>
    </row>
    <row r="159" spans="1:76" x14ac:dyDescent="0.3">
      <c r="A159" s="47" t="s">
        <v>646</v>
      </c>
      <c r="B159" s="16" t="s">
        <v>647</v>
      </c>
      <c r="C159" s="39" t="s">
        <v>648</v>
      </c>
      <c r="D159" s="29">
        <v>46217.208518518513</v>
      </c>
      <c r="E159" s="29"/>
      <c r="F159" s="16" t="s">
        <v>122</v>
      </c>
      <c r="G159" s="16" t="s">
        <v>123</v>
      </c>
      <c r="H159" s="16" t="s">
        <v>43</v>
      </c>
      <c r="I159" s="16" t="s">
        <v>140</v>
      </c>
      <c r="J159" s="30" t="s">
        <v>125</v>
      </c>
      <c r="K159" s="16" t="s">
        <v>126</v>
      </c>
      <c r="L159" s="16">
        <f t="shared" si="69"/>
        <v>31.94</v>
      </c>
      <c r="M159" s="31">
        <v>3000000</v>
      </c>
      <c r="N159" s="31"/>
      <c r="O159" s="31"/>
      <c r="P159" s="31"/>
      <c r="Q159" s="31"/>
      <c r="R159" s="31"/>
      <c r="S159" s="31">
        <v>288725</v>
      </c>
      <c r="T159" s="31"/>
      <c r="U159" s="31"/>
      <c r="V159" s="31"/>
      <c r="W159" s="31"/>
      <c r="X159" s="31"/>
      <c r="Y159" s="31"/>
      <c r="Z159" s="40">
        <v>249095</v>
      </c>
      <c r="AA159" s="31"/>
      <c r="AB159" s="31"/>
      <c r="AC159" s="31"/>
      <c r="AE159" s="31"/>
      <c r="AF159" s="32">
        <f t="shared" si="70"/>
        <v>3537820</v>
      </c>
      <c r="AI159" s="31">
        <v>394651</v>
      </c>
      <c r="AJ159" s="31"/>
      <c r="AK159" s="31">
        <v>17200</v>
      </c>
      <c r="AL159" s="31">
        <v>131600</v>
      </c>
      <c r="AM159" s="31"/>
      <c r="AN159" s="31"/>
      <c r="AO159" s="32">
        <f t="shared" si="71"/>
        <v>543451</v>
      </c>
      <c r="AR159" s="31">
        <v>294819</v>
      </c>
      <c r="AS159" s="31">
        <v>294819</v>
      </c>
      <c r="AT159" s="31">
        <v>11808</v>
      </c>
      <c r="AU159" s="32">
        <f t="shared" si="72"/>
        <v>601446</v>
      </c>
      <c r="AV159" s="41">
        <f t="shared" si="82"/>
        <v>1205358</v>
      </c>
      <c r="AX159" s="31">
        <v>0</v>
      </c>
      <c r="AY159" s="31">
        <v>0</v>
      </c>
      <c r="AZ159" s="31">
        <v>0</v>
      </c>
      <c r="BA159" s="20">
        <v>0</v>
      </c>
      <c r="BB159" s="31">
        <v>0</v>
      </c>
      <c r="BC159" s="31">
        <f t="shared" si="83"/>
        <v>60461</v>
      </c>
      <c r="BD159" s="35">
        <f t="shared" si="73"/>
        <v>60461</v>
      </c>
      <c r="BF159" s="42">
        <f t="shared" si="84"/>
        <v>11.399999999999999</v>
      </c>
      <c r="BG159" s="42">
        <f t="shared" si="85"/>
        <v>6.276016605745852</v>
      </c>
      <c r="BH159" s="31">
        <f t="shared" si="74"/>
        <v>4762150.7120000003</v>
      </c>
      <c r="BI159" s="31">
        <f t="shared" si="86"/>
        <v>181383</v>
      </c>
      <c r="BJ159" s="31">
        <f t="shared" si="75"/>
        <v>18972.712</v>
      </c>
      <c r="BK159" s="31">
        <f t="shared" si="76"/>
        <v>34462.769999999997</v>
      </c>
      <c r="BL159" s="31">
        <f t="shared" si="77"/>
        <v>4977996.4819999998</v>
      </c>
      <c r="BM159" s="36">
        <v>3023.05</v>
      </c>
      <c r="BN159" s="37">
        <f t="shared" si="78"/>
        <v>1575.28</v>
      </c>
      <c r="BO159" s="37">
        <f t="shared" si="79"/>
        <v>60</v>
      </c>
      <c r="BP159" s="37">
        <f t="shared" si="80"/>
        <v>11.4</v>
      </c>
      <c r="BQ159" s="37">
        <f t="shared" si="81"/>
        <v>1646.68</v>
      </c>
      <c r="BR159" s="38">
        <v>1646.7</v>
      </c>
      <c r="BS159" s="37">
        <f t="shared" si="87"/>
        <v>-1.999999999998181E-2</v>
      </c>
      <c r="BT159" s="46" t="s">
        <v>649</v>
      </c>
      <c r="BW159" s="31">
        <f t="shared" si="88"/>
        <v>120922</v>
      </c>
      <c r="BX159" s="31">
        <f t="shared" si="89"/>
        <v>60461</v>
      </c>
    </row>
    <row r="160" spans="1:76" x14ac:dyDescent="0.3">
      <c r="A160" s="47" t="s">
        <v>650</v>
      </c>
      <c r="B160" s="16" t="s">
        <v>651</v>
      </c>
      <c r="C160" s="39" t="s">
        <v>652</v>
      </c>
      <c r="D160" s="29">
        <v>46244.208518518513</v>
      </c>
      <c r="E160" s="29"/>
      <c r="F160" s="16" t="s">
        <v>122</v>
      </c>
      <c r="G160" s="16" t="s">
        <v>123</v>
      </c>
      <c r="H160" s="16" t="s">
        <v>43</v>
      </c>
      <c r="I160" s="16" t="s">
        <v>140</v>
      </c>
      <c r="J160" s="30" t="s">
        <v>125</v>
      </c>
      <c r="K160" s="16" t="s">
        <v>126</v>
      </c>
      <c r="L160" s="16">
        <f t="shared" si="69"/>
        <v>31.94</v>
      </c>
      <c r="M160" s="31">
        <v>2825000</v>
      </c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40">
        <v>207579</v>
      </c>
      <c r="AA160" s="31"/>
      <c r="AB160" s="31"/>
      <c r="AC160" s="31"/>
      <c r="AE160" s="31"/>
      <c r="AF160" s="32">
        <f t="shared" si="70"/>
        <v>3032579</v>
      </c>
      <c r="AI160" s="31">
        <v>339100</v>
      </c>
      <c r="AJ160" s="31"/>
      <c r="AK160" s="31">
        <v>12300</v>
      </c>
      <c r="AL160" s="31">
        <v>113100</v>
      </c>
      <c r="AM160" s="31"/>
      <c r="AN160" s="31"/>
      <c r="AO160" s="32">
        <f t="shared" si="71"/>
        <v>464500</v>
      </c>
      <c r="AR160" s="31">
        <v>252715</v>
      </c>
      <c r="AS160" s="31">
        <v>252715</v>
      </c>
      <c r="AT160" s="31">
        <v>6090</v>
      </c>
      <c r="AU160" s="32">
        <f t="shared" si="72"/>
        <v>511520</v>
      </c>
      <c r="AV160" s="41">
        <f t="shared" si="82"/>
        <v>1036481</v>
      </c>
      <c r="AX160" s="31">
        <v>0</v>
      </c>
      <c r="AY160" s="31">
        <v>0</v>
      </c>
      <c r="AZ160" s="31">
        <v>64500</v>
      </c>
      <c r="BA160" s="20">
        <v>0</v>
      </c>
      <c r="BB160" s="31">
        <v>0</v>
      </c>
      <c r="BC160" s="31">
        <f t="shared" si="83"/>
        <v>60461</v>
      </c>
      <c r="BD160" s="35">
        <f t="shared" si="73"/>
        <v>124961</v>
      </c>
      <c r="BF160" s="42">
        <f t="shared" si="84"/>
        <v>11.399999999999999</v>
      </c>
      <c r="BG160" s="42">
        <f t="shared" si="85"/>
        <v>5.4693901854087761</v>
      </c>
      <c r="BH160" s="31">
        <f t="shared" si="74"/>
        <v>4150094.24</v>
      </c>
      <c r="BI160" s="31">
        <f t="shared" si="86"/>
        <v>181383</v>
      </c>
      <c r="BJ160" s="31">
        <f t="shared" si="75"/>
        <v>16534.240000000002</v>
      </c>
      <c r="BK160" s="31">
        <f t="shared" si="76"/>
        <v>34462.769999999997</v>
      </c>
      <c r="BL160" s="31">
        <f t="shared" si="77"/>
        <v>4365940.01</v>
      </c>
      <c r="BM160" s="36">
        <v>3023.05</v>
      </c>
      <c r="BN160" s="37">
        <f t="shared" si="78"/>
        <v>1372.82</v>
      </c>
      <c r="BO160" s="37">
        <f t="shared" si="79"/>
        <v>60</v>
      </c>
      <c r="BP160" s="37">
        <f t="shared" si="80"/>
        <v>11.4</v>
      </c>
      <c r="BQ160" s="37">
        <f t="shared" si="81"/>
        <v>1444.22</v>
      </c>
      <c r="BR160" s="38">
        <v>1444.23</v>
      </c>
      <c r="BS160" s="37">
        <f t="shared" si="87"/>
        <v>-9.9999999999909051E-3</v>
      </c>
      <c r="BT160" s="46"/>
      <c r="BW160" s="31">
        <f t="shared" si="88"/>
        <v>120922</v>
      </c>
      <c r="BX160" s="31">
        <f t="shared" si="89"/>
        <v>60461</v>
      </c>
    </row>
    <row r="161" spans="1:76" x14ac:dyDescent="0.3">
      <c r="A161" s="47" t="s">
        <v>653</v>
      </c>
      <c r="B161" s="16" t="s">
        <v>654</v>
      </c>
      <c r="C161" s="27" t="s">
        <v>655</v>
      </c>
      <c r="D161" s="29">
        <v>45809.208518518513</v>
      </c>
      <c r="E161" s="29"/>
      <c r="F161" s="16" t="s">
        <v>122</v>
      </c>
      <c r="G161" s="16" t="s">
        <v>123</v>
      </c>
      <c r="H161" s="16" t="s">
        <v>10</v>
      </c>
      <c r="I161" s="16" t="s">
        <v>656</v>
      </c>
      <c r="J161" s="30" t="s">
        <v>125</v>
      </c>
      <c r="K161" s="16" t="s">
        <v>126</v>
      </c>
      <c r="L161" s="16">
        <f t="shared" si="69"/>
        <v>31.94</v>
      </c>
      <c r="M161" s="31">
        <v>28380349</v>
      </c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E161" s="31"/>
      <c r="AF161" s="32">
        <f t="shared" si="70"/>
        <v>28380349</v>
      </c>
      <c r="AI161" s="31">
        <v>2384051</v>
      </c>
      <c r="AJ161" s="31">
        <v>1688751</v>
      </c>
      <c r="AK161" s="31">
        <v>467900</v>
      </c>
      <c r="AL161" s="31">
        <v>794700</v>
      </c>
      <c r="AM161" s="31">
        <v>397400</v>
      </c>
      <c r="AN161" s="31">
        <v>596100</v>
      </c>
      <c r="AO161" s="32">
        <f t="shared" si="71"/>
        <v>6328902</v>
      </c>
      <c r="AR161" s="31"/>
      <c r="AS161" s="31"/>
      <c r="AT161" s="31"/>
      <c r="AU161" s="32">
        <f t="shared" si="72"/>
        <v>0</v>
      </c>
      <c r="AV161" s="41">
        <f t="shared" si="82"/>
        <v>6389363</v>
      </c>
      <c r="AX161" s="31">
        <v>0</v>
      </c>
      <c r="AY161" s="31">
        <v>0</v>
      </c>
      <c r="AZ161" s="31">
        <v>0</v>
      </c>
      <c r="BA161" s="20">
        <v>0</v>
      </c>
      <c r="BB161" s="31">
        <v>0</v>
      </c>
      <c r="BC161" s="31">
        <f t="shared" si="83"/>
        <v>60461</v>
      </c>
      <c r="BD161" s="35">
        <f t="shared" si="73"/>
        <v>60461</v>
      </c>
      <c r="BF161" s="28">
        <f t="shared" si="84"/>
        <v>11.399999999999999</v>
      </c>
      <c r="BG161" s="28">
        <f t="shared" si="85"/>
        <v>46.006135525379996</v>
      </c>
      <c r="BH161" s="31">
        <f t="shared" si="74"/>
        <v>34908790.847999997</v>
      </c>
      <c r="BI161" s="31">
        <f t="shared" si="86"/>
        <v>181383</v>
      </c>
      <c r="BJ161" s="40">
        <f t="shared" si="75"/>
        <v>139078.848</v>
      </c>
      <c r="BK161" s="40">
        <f t="shared" si="76"/>
        <v>34462.769999999997</v>
      </c>
      <c r="BL161" s="31">
        <f t="shared" si="77"/>
        <v>35124636.618000001</v>
      </c>
      <c r="BM161" s="36">
        <v>3023.05</v>
      </c>
      <c r="BN161" s="37">
        <f t="shared" si="78"/>
        <v>11547.54</v>
      </c>
      <c r="BO161" s="37">
        <f t="shared" si="79"/>
        <v>60</v>
      </c>
      <c r="BP161" s="37">
        <f t="shared" si="80"/>
        <v>11.4</v>
      </c>
      <c r="BQ161" s="37">
        <f t="shared" si="81"/>
        <v>11618.94</v>
      </c>
      <c r="BR161" s="38">
        <v>11618.97</v>
      </c>
      <c r="BS161" s="37">
        <f t="shared" si="87"/>
        <v>-2.9999999998835847E-2</v>
      </c>
      <c r="BT161" s="46"/>
      <c r="BW161" s="31">
        <f t="shared" si="88"/>
        <v>120922</v>
      </c>
      <c r="BX161" s="31">
        <f t="shared" si="89"/>
        <v>60461</v>
      </c>
    </row>
    <row r="162" spans="1:76" x14ac:dyDescent="0.3">
      <c r="A162" s="47" t="s">
        <v>657</v>
      </c>
      <c r="B162" s="16" t="s">
        <v>658</v>
      </c>
      <c r="C162" s="39" t="s">
        <v>659</v>
      </c>
      <c r="D162" s="29">
        <v>46153.208518518513</v>
      </c>
      <c r="E162" s="29"/>
      <c r="F162" s="16" t="s">
        <v>122</v>
      </c>
      <c r="G162" s="16" t="s">
        <v>123</v>
      </c>
      <c r="H162" s="16" t="s">
        <v>43</v>
      </c>
      <c r="I162" s="16" t="s">
        <v>140</v>
      </c>
      <c r="J162" s="30" t="s">
        <v>125</v>
      </c>
      <c r="K162" s="16" t="s">
        <v>126</v>
      </c>
      <c r="L162" s="16">
        <f t="shared" si="69"/>
        <v>31.94</v>
      </c>
      <c r="M162" s="31">
        <v>3500000</v>
      </c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40">
        <v>249095</v>
      </c>
      <c r="AA162" s="31"/>
      <c r="AB162" s="31"/>
      <c r="AC162" s="31"/>
      <c r="AE162" s="31"/>
      <c r="AF162" s="32">
        <f t="shared" si="70"/>
        <v>3749095</v>
      </c>
      <c r="AI162" s="31">
        <v>420000</v>
      </c>
      <c r="AJ162" s="31"/>
      <c r="AK162" s="31">
        <v>18300</v>
      </c>
      <c r="AL162" s="31">
        <v>140000</v>
      </c>
      <c r="AM162" s="31"/>
      <c r="AN162" s="31"/>
      <c r="AO162" s="32">
        <f t="shared" si="71"/>
        <v>578300</v>
      </c>
      <c r="AR162" s="31">
        <v>312425</v>
      </c>
      <c r="AS162" s="31">
        <v>312425</v>
      </c>
      <c r="AT162" s="31">
        <v>26014</v>
      </c>
      <c r="AU162" s="32">
        <f t="shared" si="72"/>
        <v>650864</v>
      </c>
      <c r="AV162" s="41">
        <f t="shared" si="82"/>
        <v>1289625</v>
      </c>
      <c r="AX162" s="31">
        <v>0</v>
      </c>
      <c r="AY162" s="31">
        <v>0</v>
      </c>
      <c r="AZ162" s="31">
        <v>0</v>
      </c>
      <c r="BA162" s="20">
        <v>0</v>
      </c>
      <c r="BB162" s="31">
        <v>0</v>
      </c>
      <c r="BC162" s="31">
        <f t="shared" si="83"/>
        <v>60461</v>
      </c>
      <c r="BD162" s="35">
        <f t="shared" si="73"/>
        <v>60461</v>
      </c>
      <c r="BF162" s="42">
        <f t="shared" si="84"/>
        <v>11.399999999999999</v>
      </c>
      <c r="BG162" s="42">
        <f t="shared" si="85"/>
        <v>6.6670680273233982</v>
      </c>
      <c r="BH162" s="31">
        <f t="shared" si="74"/>
        <v>5058874.88</v>
      </c>
      <c r="BI162" s="31">
        <f t="shared" si="86"/>
        <v>181383</v>
      </c>
      <c r="BJ162" s="31">
        <f t="shared" si="75"/>
        <v>20154.88</v>
      </c>
      <c r="BK162" s="31">
        <f t="shared" si="76"/>
        <v>34462.769999999997</v>
      </c>
      <c r="BL162" s="31">
        <f t="shared" si="77"/>
        <v>5274720.6499999994</v>
      </c>
      <c r="BM162" s="36">
        <v>3023.05</v>
      </c>
      <c r="BN162" s="37">
        <f t="shared" si="78"/>
        <v>1673.43</v>
      </c>
      <c r="BO162" s="37">
        <f t="shared" si="79"/>
        <v>60</v>
      </c>
      <c r="BP162" s="37">
        <f t="shared" si="80"/>
        <v>11.4</v>
      </c>
      <c r="BQ162" s="37">
        <f t="shared" si="81"/>
        <v>1744.8300000000002</v>
      </c>
      <c r="BR162" s="38">
        <v>1744.85</v>
      </c>
      <c r="BS162" s="37">
        <f t="shared" si="87"/>
        <v>-1.9999999999754436E-2</v>
      </c>
      <c r="BT162" s="46"/>
      <c r="BW162" s="31">
        <f t="shared" si="88"/>
        <v>120922</v>
      </c>
      <c r="BX162" s="31">
        <f t="shared" si="89"/>
        <v>60461</v>
      </c>
    </row>
    <row r="163" spans="1:76" x14ac:dyDescent="0.3">
      <c r="A163" s="47" t="s">
        <v>660</v>
      </c>
      <c r="B163" s="16" t="s">
        <v>661</v>
      </c>
      <c r="C163" s="27" t="s">
        <v>662</v>
      </c>
      <c r="D163" s="29">
        <v>45929.208518518513</v>
      </c>
      <c r="E163" s="29"/>
      <c r="F163" s="16" t="s">
        <v>122</v>
      </c>
      <c r="G163" s="16" t="s">
        <v>123</v>
      </c>
      <c r="H163" s="16" t="s">
        <v>46</v>
      </c>
      <c r="I163" s="16" t="s">
        <v>309</v>
      </c>
      <c r="J163" s="30" t="s">
        <v>125</v>
      </c>
      <c r="K163" s="16" t="s">
        <v>126</v>
      </c>
      <c r="L163" s="16">
        <f t="shared" si="69"/>
        <v>31.94</v>
      </c>
      <c r="M163" s="31">
        <v>5450000</v>
      </c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E163" s="31"/>
      <c r="AF163" s="32">
        <f t="shared" si="70"/>
        <v>5450000</v>
      </c>
      <c r="AI163" s="31">
        <v>654000</v>
      </c>
      <c r="AJ163" s="31"/>
      <c r="AK163" s="31">
        <v>132800</v>
      </c>
      <c r="AL163" s="31">
        <v>218000</v>
      </c>
      <c r="AM163" s="31"/>
      <c r="AN163" s="31"/>
      <c r="AO163" s="32">
        <f t="shared" si="71"/>
        <v>1004800</v>
      </c>
      <c r="AR163" s="31">
        <v>454167</v>
      </c>
      <c r="AS163" s="31">
        <v>454167</v>
      </c>
      <c r="AT163" s="31">
        <v>77583</v>
      </c>
      <c r="AU163" s="32">
        <f t="shared" si="72"/>
        <v>985917</v>
      </c>
      <c r="AV163" s="41">
        <f t="shared" si="82"/>
        <v>2051178</v>
      </c>
      <c r="AX163" s="31">
        <v>0</v>
      </c>
      <c r="AY163" s="31">
        <v>0</v>
      </c>
      <c r="AZ163" s="31">
        <v>0</v>
      </c>
      <c r="BA163" s="20">
        <v>0</v>
      </c>
      <c r="BB163" s="31">
        <v>0</v>
      </c>
      <c r="BC163" s="31">
        <f t="shared" si="83"/>
        <v>60461</v>
      </c>
      <c r="BD163" s="35">
        <f t="shared" si="73"/>
        <v>60461</v>
      </c>
      <c r="BF163" s="28">
        <f t="shared" si="84"/>
        <v>11.399999999999999</v>
      </c>
      <c r="BG163" s="28">
        <f t="shared" si="85"/>
        <v>9.9253111923388619</v>
      </c>
      <c r="BH163" s="31">
        <f t="shared" si="74"/>
        <v>7531182.7120000003</v>
      </c>
      <c r="BI163" s="31">
        <f t="shared" si="86"/>
        <v>181383</v>
      </c>
      <c r="BJ163" s="40">
        <f t="shared" si="75"/>
        <v>30004.712</v>
      </c>
      <c r="BK163" s="40">
        <f t="shared" si="76"/>
        <v>34462.769999999997</v>
      </c>
      <c r="BL163" s="31">
        <f t="shared" si="77"/>
        <v>7747028.4819999998</v>
      </c>
      <c r="BM163" s="36">
        <v>3023.05</v>
      </c>
      <c r="BN163" s="37">
        <f t="shared" si="78"/>
        <v>2491.25</v>
      </c>
      <c r="BO163" s="37">
        <f t="shared" si="79"/>
        <v>60</v>
      </c>
      <c r="BP163" s="37">
        <f t="shared" si="80"/>
        <v>11.4</v>
      </c>
      <c r="BQ163" s="37">
        <f t="shared" si="81"/>
        <v>2562.65</v>
      </c>
      <c r="BR163" s="38">
        <v>2562.67</v>
      </c>
      <c r="BS163" s="37">
        <f t="shared" si="87"/>
        <v>-1.999999999998181E-2</v>
      </c>
      <c r="BT163" s="46"/>
      <c r="BW163" s="31">
        <f t="shared" si="88"/>
        <v>120922</v>
      </c>
      <c r="BX163" s="31">
        <f t="shared" si="89"/>
        <v>60461</v>
      </c>
    </row>
    <row r="164" spans="1:76" x14ac:dyDescent="0.3">
      <c r="A164" s="47" t="s">
        <v>663</v>
      </c>
      <c r="B164" s="16" t="s">
        <v>664</v>
      </c>
      <c r="C164" s="39" t="s">
        <v>665</v>
      </c>
      <c r="D164" s="29">
        <v>46252.208518518513</v>
      </c>
      <c r="E164" s="29"/>
      <c r="F164" s="16" t="s">
        <v>122</v>
      </c>
      <c r="G164" s="16" t="s">
        <v>123</v>
      </c>
      <c r="H164" s="16" t="s">
        <v>43</v>
      </c>
      <c r="I164" s="16" t="s">
        <v>140</v>
      </c>
      <c r="J164" s="30" t="s">
        <v>125</v>
      </c>
      <c r="K164" s="16" t="s">
        <v>126</v>
      </c>
      <c r="L164" s="16">
        <f t="shared" si="69"/>
        <v>31.94</v>
      </c>
      <c r="M164" s="31">
        <v>9000000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E164" s="31"/>
      <c r="AF164" s="32">
        <f t="shared" ref="AF164:AF168" si="90">SUM(M164,O164,P164,Q164,R164,S164,T164,U164,V164,W164,X164,Y164,Z164,AA164,AB164,AC164,N164,AE164,AD164)</f>
        <v>9000000</v>
      </c>
      <c r="AI164" s="31">
        <v>1080000</v>
      </c>
      <c r="AJ164" s="31"/>
      <c r="AK164" s="31">
        <v>47000</v>
      </c>
      <c r="AL164" s="31">
        <v>360000</v>
      </c>
      <c r="AM164" s="31"/>
      <c r="AN164" s="31"/>
      <c r="AO164" s="32">
        <f t="shared" ref="AO164:AO168" si="91">SUM(AL164,AJ164,AN164,AK164,AM164,AI164)</f>
        <v>1487000</v>
      </c>
      <c r="AR164" s="31">
        <v>750000</v>
      </c>
      <c r="AS164" s="31">
        <v>750000</v>
      </c>
      <c r="AT164" s="31">
        <v>14000</v>
      </c>
      <c r="AU164" s="32">
        <f t="shared" ref="AU164:AU168" si="92">SUM(AR164,AS164,AT164)</f>
        <v>1514000</v>
      </c>
      <c r="AV164" s="41">
        <f t="shared" si="82"/>
        <v>3061461</v>
      </c>
      <c r="AX164" s="31">
        <v>0</v>
      </c>
      <c r="AY164" s="31">
        <v>0</v>
      </c>
      <c r="AZ164" s="31">
        <v>117500</v>
      </c>
      <c r="BA164" s="20">
        <v>0</v>
      </c>
      <c r="BB164" s="31">
        <v>0</v>
      </c>
      <c r="BC164" s="31">
        <f t="shared" si="83"/>
        <v>60461</v>
      </c>
      <c r="BD164" s="35">
        <f t="shared" ref="BD164:BD168" si="93">SUM(AX164,AY164,AZ164,BA164,BB164,BC164,AD164)</f>
        <v>177961</v>
      </c>
      <c r="BF164" s="42">
        <f t="shared" si="84"/>
        <v>11.399999999999999</v>
      </c>
      <c r="BG164" s="42">
        <f t="shared" si="85"/>
        <v>16.114799292105655</v>
      </c>
      <c r="BH164" s="31">
        <f t="shared" si="74"/>
        <v>12227676.844000001</v>
      </c>
      <c r="BI164" s="31">
        <f t="shared" si="86"/>
        <v>181383</v>
      </c>
      <c r="BJ164" s="31">
        <f t="shared" si="75"/>
        <v>48715.844000000005</v>
      </c>
      <c r="BK164" s="31">
        <f t="shared" si="76"/>
        <v>34462.769999999997</v>
      </c>
      <c r="BL164" s="31">
        <f t="shared" ref="BL164:BL168" si="94">SUM(BH164,BI164,BK164)</f>
        <v>12443522.614</v>
      </c>
      <c r="BM164" s="36">
        <v>3023.05</v>
      </c>
      <c r="BN164" s="37">
        <f t="shared" ref="BN164:BN168" si="95">ROUND(BH164/BM164,2)</f>
        <v>4044.81</v>
      </c>
      <c r="BO164" s="37">
        <f t="shared" si="79"/>
        <v>60</v>
      </c>
      <c r="BP164" s="37">
        <f t="shared" si="80"/>
        <v>11.4</v>
      </c>
      <c r="BQ164" s="37">
        <f t="shared" ref="BQ164:BQ168" si="96">SUM(BN164,BO164,BP164)</f>
        <v>4116.2099999999991</v>
      </c>
      <c r="BR164" s="38">
        <v>4116.22</v>
      </c>
      <c r="BS164" s="37">
        <f t="shared" si="87"/>
        <v>-1.0000000001127773E-2</v>
      </c>
      <c r="BT164" s="46"/>
      <c r="BW164" s="31">
        <f t="shared" si="88"/>
        <v>120922</v>
      </c>
      <c r="BX164" s="31">
        <f t="shared" si="89"/>
        <v>60461</v>
      </c>
    </row>
    <row r="165" spans="1:76" x14ac:dyDescent="0.3">
      <c r="A165" s="47" t="s">
        <v>666</v>
      </c>
      <c r="B165" s="16" t="s">
        <v>667</v>
      </c>
      <c r="C165" s="39" t="s">
        <v>668</v>
      </c>
      <c r="D165" s="29">
        <v>45566.208518518513</v>
      </c>
      <c r="E165" s="29"/>
      <c r="F165" s="16" t="s">
        <v>122</v>
      </c>
      <c r="G165" s="16" t="s">
        <v>123</v>
      </c>
      <c r="H165" s="16" t="s">
        <v>15</v>
      </c>
      <c r="I165" s="16" t="s">
        <v>148</v>
      </c>
      <c r="J165" s="30" t="s">
        <v>125</v>
      </c>
      <c r="K165" s="16" t="s">
        <v>126</v>
      </c>
      <c r="L165" s="16">
        <f t="shared" si="69"/>
        <v>31.94</v>
      </c>
      <c r="M165" s="31">
        <v>3710000</v>
      </c>
      <c r="N165" s="31"/>
      <c r="O165" s="31"/>
      <c r="P165" s="31"/>
      <c r="Q165" s="31"/>
      <c r="R165" s="40">
        <v>537067</v>
      </c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E165" s="31"/>
      <c r="AF165" s="32">
        <f t="shared" si="90"/>
        <v>4247067</v>
      </c>
      <c r="AI165" s="31">
        <v>509717</v>
      </c>
      <c r="AJ165" s="31"/>
      <c r="AK165" s="31">
        <v>22200</v>
      </c>
      <c r="AL165" s="31">
        <v>169900</v>
      </c>
      <c r="AM165" s="31"/>
      <c r="AN165" s="31"/>
      <c r="AO165" s="32">
        <f t="shared" si="91"/>
        <v>701817</v>
      </c>
      <c r="AR165" s="31">
        <v>353922</v>
      </c>
      <c r="AS165" s="31">
        <v>353922</v>
      </c>
      <c r="AT165" s="31">
        <v>58248</v>
      </c>
      <c r="AU165" s="32">
        <f t="shared" si="92"/>
        <v>766092</v>
      </c>
      <c r="AV165" s="41">
        <f t="shared" si="82"/>
        <v>1528370</v>
      </c>
      <c r="AX165" s="31">
        <v>0</v>
      </c>
      <c r="AY165" s="31">
        <v>0</v>
      </c>
      <c r="AZ165" s="31">
        <v>0</v>
      </c>
      <c r="BA165" s="20">
        <v>0</v>
      </c>
      <c r="BB165" s="31">
        <v>0</v>
      </c>
      <c r="BC165" s="31">
        <f t="shared" si="83"/>
        <v>60461</v>
      </c>
      <c r="BD165" s="35">
        <f t="shared" si="93"/>
        <v>60461</v>
      </c>
      <c r="BF165" s="42">
        <f t="shared" si="84"/>
        <v>11.399999999999999</v>
      </c>
      <c r="BG165" s="42">
        <f t="shared" si="85"/>
        <v>7.6418676502208029</v>
      </c>
      <c r="BH165" s="31">
        <f t="shared" si="74"/>
        <v>5798538.7479999997</v>
      </c>
      <c r="BI165" s="31">
        <f t="shared" si="86"/>
        <v>181383</v>
      </c>
      <c r="BJ165" s="31">
        <f t="shared" si="75"/>
        <v>23101.748</v>
      </c>
      <c r="BK165" s="31">
        <f t="shared" si="76"/>
        <v>34462.769999999997</v>
      </c>
      <c r="BL165" s="31">
        <f t="shared" si="94"/>
        <v>6014384.5179999992</v>
      </c>
      <c r="BM165" s="36">
        <v>3023.05</v>
      </c>
      <c r="BN165" s="37">
        <f t="shared" si="95"/>
        <v>1918.11</v>
      </c>
      <c r="BO165" s="37">
        <f t="shared" si="79"/>
        <v>60</v>
      </c>
      <c r="BP165" s="37">
        <f t="shared" si="80"/>
        <v>11.4</v>
      </c>
      <c r="BQ165" s="37">
        <f t="shared" si="96"/>
        <v>1989.51</v>
      </c>
      <c r="BR165" s="38">
        <v>1989.52</v>
      </c>
      <c r="BS165" s="37">
        <f t="shared" si="87"/>
        <v>-9.9999999999909051E-3</v>
      </c>
      <c r="BT165" s="46"/>
      <c r="BW165" s="31">
        <f t="shared" si="88"/>
        <v>120922</v>
      </c>
      <c r="BX165" s="31">
        <f t="shared" si="89"/>
        <v>60461</v>
      </c>
    </row>
    <row r="166" spans="1:76" x14ac:dyDescent="0.3">
      <c r="A166" s="47" t="s">
        <v>669</v>
      </c>
      <c r="B166" s="16" t="s">
        <v>670</v>
      </c>
      <c r="C166" s="27" t="s">
        <v>671</v>
      </c>
      <c r="D166" s="29">
        <v>46219.208518518513</v>
      </c>
      <c r="E166" s="29"/>
      <c r="F166" s="16" t="s">
        <v>122</v>
      </c>
      <c r="G166" s="16" t="s">
        <v>123</v>
      </c>
      <c r="H166" s="16" t="s">
        <v>36</v>
      </c>
      <c r="I166" s="16" t="s">
        <v>152</v>
      </c>
      <c r="J166" s="30" t="s">
        <v>125</v>
      </c>
      <c r="K166" s="16" t="s">
        <v>126</v>
      </c>
      <c r="L166" s="16">
        <f t="shared" si="69"/>
        <v>31.94</v>
      </c>
      <c r="M166" s="31">
        <v>2050600</v>
      </c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40">
        <v>249095</v>
      </c>
      <c r="AA166" s="31"/>
      <c r="AB166" s="31"/>
      <c r="AC166" s="31"/>
      <c r="AE166" s="31"/>
      <c r="AF166" s="32">
        <f t="shared" si="90"/>
        <v>2299695</v>
      </c>
      <c r="AI166" s="31">
        <v>246076</v>
      </c>
      <c r="AJ166" s="31"/>
      <c r="AK166" s="31">
        <v>10800</v>
      </c>
      <c r="AL166" s="31">
        <v>82100</v>
      </c>
      <c r="AM166" s="31"/>
      <c r="AN166" s="31"/>
      <c r="AO166" s="32">
        <f t="shared" si="91"/>
        <v>338976</v>
      </c>
      <c r="AR166" s="31">
        <v>191641</v>
      </c>
      <c r="AS166" s="31">
        <v>191641</v>
      </c>
      <c r="AT166" s="31">
        <v>7666</v>
      </c>
      <c r="AU166" s="32">
        <f t="shared" si="92"/>
        <v>390948</v>
      </c>
      <c r="AV166" s="41">
        <f t="shared" si="82"/>
        <v>790385</v>
      </c>
      <c r="AX166" s="31">
        <v>0</v>
      </c>
      <c r="AY166" s="31">
        <v>0</v>
      </c>
      <c r="AZ166" s="31">
        <v>0</v>
      </c>
      <c r="BA166" s="20">
        <v>0</v>
      </c>
      <c r="BB166" s="31">
        <v>0</v>
      </c>
      <c r="BC166" s="31">
        <f t="shared" si="83"/>
        <v>60461</v>
      </c>
      <c r="BD166" s="35">
        <f t="shared" si="93"/>
        <v>60461</v>
      </c>
      <c r="BF166" s="28">
        <f t="shared" si="84"/>
        <v>11.399999999999999</v>
      </c>
      <c r="BG166" s="28">
        <f t="shared" si="85"/>
        <v>4.0886918840244117</v>
      </c>
      <c r="BH166" s="31">
        <f t="shared" si="74"/>
        <v>3102440.32</v>
      </c>
      <c r="BI166" s="31">
        <f t="shared" si="86"/>
        <v>181383</v>
      </c>
      <c r="BJ166" s="40">
        <f t="shared" si="75"/>
        <v>12360.32</v>
      </c>
      <c r="BK166" s="40">
        <f t="shared" si="76"/>
        <v>34462.769999999997</v>
      </c>
      <c r="BL166" s="31">
        <f t="shared" si="94"/>
        <v>3318286.09</v>
      </c>
      <c r="BM166" s="36">
        <v>3023.05</v>
      </c>
      <c r="BN166" s="37">
        <f t="shared" si="95"/>
        <v>1026.26</v>
      </c>
      <c r="BO166" s="37">
        <f t="shared" si="79"/>
        <v>60</v>
      </c>
      <c r="BP166" s="37">
        <f t="shared" si="80"/>
        <v>11.4</v>
      </c>
      <c r="BQ166" s="37">
        <f t="shared" si="96"/>
        <v>1097.6600000000001</v>
      </c>
      <c r="BR166" s="38">
        <v>1097.68</v>
      </c>
      <c r="BS166" s="37">
        <f t="shared" si="87"/>
        <v>-1.999999999998181E-2</v>
      </c>
      <c r="BT166" s="46"/>
      <c r="BW166" s="31">
        <f t="shared" si="88"/>
        <v>120922</v>
      </c>
      <c r="BX166" s="31">
        <f t="shared" si="89"/>
        <v>60461</v>
      </c>
    </row>
    <row r="167" spans="1:76" x14ac:dyDescent="0.3">
      <c r="A167" s="47" t="s">
        <v>672</v>
      </c>
      <c r="B167" s="16" t="s">
        <v>673</v>
      </c>
      <c r="C167" s="39" t="s">
        <v>674</v>
      </c>
      <c r="D167" s="29">
        <v>46217.208518518513</v>
      </c>
      <c r="E167" s="29"/>
      <c r="F167" s="16" t="s">
        <v>122</v>
      </c>
      <c r="G167" s="16" t="s">
        <v>123</v>
      </c>
      <c r="H167" s="16" t="s">
        <v>43</v>
      </c>
      <c r="I167" s="16" t="s">
        <v>140</v>
      </c>
      <c r="J167" s="30" t="s">
        <v>125</v>
      </c>
      <c r="K167" s="16" t="s">
        <v>126</v>
      </c>
      <c r="L167" s="16">
        <f t="shared" si="69"/>
        <v>31.94</v>
      </c>
      <c r="M167" s="31">
        <v>5000000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E167" s="31"/>
      <c r="AF167" s="32">
        <f t="shared" si="90"/>
        <v>5000000</v>
      </c>
      <c r="AI167" s="31">
        <v>600000</v>
      </c>
      <c r="AJ167" s="31"/>
      <c r="AK167" s="31">
        <v>26100</v>
      </c>
      <c r="AL167" s="31">
        <v>200000</v>
      </c>
      <c r="AM167" s="31"/>
      <c r="AN167" s="31"/>
      <c r="AO167" s="32">
        <f t="shared" si="91"/>
        <v>826100</v>
      </c>
      <c r="AR167" s="31">
        <v>416666</v>
      </c>
      <c r="AS167" s="31">
        <v>416666</v>
      </c>
      <c r="AT167" s="31">
        <v>17222</v>
      </c>
      <c r="AU167" s="32">
        <f t="shared" si="92"/>
        <v>850554</v>
      </c>
      <c r="AV167" s="41">
        <f t="shared" si="82"/>
        <v>1737115</v>
      </c>
      <c r="AX167" s="31">
        <v>0</v>
      </c>
      <c r="AY167" s="31">
        <v>0</v>
      </c>
      <c r="AZ167" s="31">
        <v>0</v>
      </c>
      <c r="BA167" s="20">
        <v>0</v>
      </c>
      <c r="BB167" s="31">
        <v>0</v>
      </c>
      <c r="BC167" s="31">
        <f t="shared" si="83"/>
        <v>60461</v>
      </c>
      <c r="BD167" s="35">
        <f t="shared" si="93"/>
        <v>60461</v>
      </c>
      <c r="BF167" s="42">
        <f t="shared" si="84"/>
        <v>11.399999999999999</v>
      </c>
      <c r="BG167" s="42">
        <f t="shared" si="85"/>
        <v>8.9143282446535768</v>
      </c>
      <c r="BH167" s="31">
        <f t="shared" si="74"/>
        <v>6764063.46</v>
      </c>
      <c r="BI167" s="31">
        <f t="shared" si="86"/>
        <v>181383</v>
      </c>
      <c r="BJ167" s="31">
        <f t="shared" si="75"/>
        <v>26948.46</v>
      </c>
      <c r="BK167" s="31">
        <f t="shared" si="76"/>
        <v>34462.769999999997</v>
      </c>
      <c r="BL167" s="31">
        <f t="shared" si="94"/>
        <v>6979909.2299999995</v>
      </c>
      <c r="BM167" s="36">
        <v>3023.05</v>
      </c>
      <c r="BN167" s="37">
        <f t="shared" si="95"/>
        <v>2237.5</v>
      </c>
      <c r="BO167" s="37">
        <f t="shared" si="79"/>
        <v>60</v>
      </c>
      <c r="BP167" s="37">
        <f t="shared" si="80"/>
        <v>11.4</v>
      </c>
      <c r="BQ167" s="37">
        <f t="shared" si="96"/>
        <v>2308.9</v>
      </c>
      <c r="BR167" s="38">
        <v>2308.9</v>
      </c>
      <c r="BS167" s="37">
        <f t="shared" si="87"/>
        <v>0</v>
      </c>
      <c r="BT167" s="46"/>
      <c r="BW167" s="31">
        <f t="shared" si="88"/>
        <v>120922</v>
      </c>
      <c r="BX167" s="31">
        <f t="shared" si="89"/>
        <v>60461</v>
      </c>
    </row>
    <row r="168" spans="1:76" x14ac:dyDescent="0.3">
      <c r="A168" s="47" t="s">
        <v>675</v>
      </c>
      <c r="B168" s="16" t="s">
        <v>676</v>
      </c>
      <c r="C168" s="39" t="s">
        <v>677</v>
      </c>
      <c r="D168" s="29">
        <v>46258.208518518513</v>
      </c>
      <c r="E168" s="29"/>
      <c r="F168" s="16" t="s">
        <v>122</v>
      </c>
      <c r="G168" s="16" t="s">
        <v>123</v>
      </c>
      <c r="H168" s="16" t="s">
        <v>15</v>
      </c>
      <c r="I168" s="16" t="s">
        <v>148</v>
      </c>
      <c r="J168" s="30" t="s">
        <v>125</v>
      </c>
      <c r="K168" s="16" t="s">
        <v>126</v>
      </c>
      <c r="L168" s="16">
        <f t="shared" si="69"/>
        <v>31.94</v>
      </c>
      <c r="M168" s="31">
        <v>3550000</v>
      </c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E168" s="31"/>
      <c r="AF168" s="32">
        <f t="shared" si="90"/>
        <v>3550000</v>
      </c>
      <c r="AI168" s="31">
        <v>426000</v>
      </c>
      <c r="AJ168" s="31"/>
      <c r="AK168" s="31">
        <v>18600</v>
      </c>
      <c r="AL168" s="31">
        <v>142000</v>
      </c>
      <c r="AM168" s="31"/>
      <c r="AN168" s="31"/>
      <c r="AO168" s="32">
        <f t="shared" si="91"/>
        <v>586600</v>
      </c>
      <c r="AR168" s="31">
        <v>295833</v>
      </c>
      <c r="AS168" s="31">
        <v>295833</v>
      </c>
      <c r="AT168" s="31">
        <v>4339</v>
      </c>
      <c r="AU168" s="32">
        <f t="shared" si="92"/>
        <v>596005</v>
      </c>
      <c r="AV168" s="41">
        <f t="shared" si="82"/>
        <v>1243066</v>
      </c>
      <c r="AX168" s="31">
        <v>0</v>
      </c>
      <c r="AY168" s="31">
        <v>0</v>
      </c>
      <c r="AZ168" s="40">
        <v>107500</v>
      </c>
      <c r="BA168" s="20">
        <v>0</v>
      </c>
      <c r="BB168" s="31">
        <v>0</v>
      </c>
      <c r="BC168" s="31">
        <f t="shared" si="83"/>
        <v>60461</v>
      </c>
      <c r="BD168" s="35">
        <f t="shared" si="93"/>
        <v>167961</v>
      </c>
      <c r="BF168" s="42">
        <f t="shared" si="84"/>
        <v>11.399999999999999</v>
      </c>
      <c r="BG168" s="42">
        <f t="shared" si="85"/>
        <v>6.4842672135756931</v>
      </c>
      <c r="BH168" s="31">
        <f t="shared" si="74"/>
        <v>4920168.2640000004</v>
      </c>
      <c r="BI168" s="31">
        <f t="shared" si="86"/>
        <v>181383</v>
      </c>
      <c r="BJ168" s="31">
        <f t="shared" si="75"/>
        <v>19602.263999999999</v>
      </c>
      <c r="BK168" s="31">
        <f t="shared" si="76"/>
        <v>34462.769999999997</v>
      </c>
      <c r="BL168" s="31">
        <f t="shared" si="94"/>
        <v>5136014.034</v>
      </c>
      <c r="BM168" s="36">
        <v>3023.05</v>
      </c>
      <c r="BN168" s="37">
        <f t="shared" si="95"/>
        <v>1627.55</v>
      </c>
      <c r="BO168" s="37">
        <f t="shared" si="79"/>
        <v>60</v>
      </c>
      <c r="BP168" s="37">
        <f t="shared" si="80"/>
        <v>11.4</v>
      </c>
      <c r="BQ168" s="37">
        <f t="shared" si="96"/>
        <v>1698.95</v>
      </c>
      <c r="BR168" s="38">
        <v>1698.97</v>
      </c>
      <c r="BS168" s="37">
        <f t="shared" si="87"/>
        <v>-1.999999999998181E-2</v>
      </c>
      <c r="BT168" s="46"/>
      <c r="BW168" s="31">
        <f t="shared" si="88"/>
        <v>120922</v>
      </c>
      <c r="BX168" s="31">
        <f t="shared" si="89"/>
        <v>60461</v>
      </c>
    </row>
    <row r="169" spans="1:76" x14ac:dyDescent="0.3">
      <c r="M169" s="43">
        <f t="shared" ref="M169:AF169" si="97">SUM(M4:M168)</f>
        <v>1150850494</v>
      </c>
      <c r="N169" s="43">
        <f t="shared" si="97"/>
        <v>0</v>
      </c>
      <c r="O169" s="43">
        <f t="shared" si="97"/>
        <v>16318963</v>
      </c>
      <c r="P169" s="43">
        <f t="shared" si="97"/>
        <v>0</v>
      </c>
      <c r="Q169" s="43">
        <f t="shared" si="97"/>
        <v>0</v>
      </c>
      <c r="R169" s="43">
        <f t="shared" si="97"/>
        <v>15668712</v>
      </c>
      <c r="S169" s="43">
        <f t="shared" si="97"/>
        <v>29581916</v>
      </c>
      <c r="T169" s="43">
        <f t="shared" si="97"/>
        <v>0</v>
      </c>
      <c r="U169" s="43">
        <f t="shared" si="97"/>
        <v>1065456</v>
      </c>
      <c r="V169" s="43">
        <f t="shared" si="97"/>
        <v>5495770</v>
      </c>
      <c r="W169" s="43">
        <f t="shared" si="97"/>
        <v>0</v>
      </c>
      <c r="X169" s="43">
        <f t="shared" si="97"/>
        <v>1319493</v>
      </c>
      <c r="Y169" s="43">
        <f t="shared" si="97"/>
        <v>0</v>
      </c>
      <c r="Z169" s="43">
        <f t="shared" si="97"/>
        <v>9756221</v>
      </c>
      <c r="AA169" s="43">
        <f t="shared" si="97"/>
        <v>1735000</v>
      </c>
      <c r="AB169" s="43">
        <f t="shared" si="97"/>
        <v>0</v>
      </c>
      <c r="AC169" s="43">
        <f t="shared" si="97"/>
        <v>0</v>
      </c>
      <c r="AD169" s="43">
        <f t="shared" si="97"/>
        <v>0</v>
      </c>
      <c r="AE169" s="43">
        <f t="shared" si="97"/>
        <v>0</v>
      </c>
      <c r="AF169" s="43">
        <f t="shared" si="97"/>
        <v>1231792025</v>
      </c>
      <c r="AI169" s="43">
        <f t="shared" ref="AI169:AO169" si="98">SUM(AI4:AI168)</f>
        <v>127536528</v>
      </c>
      <c r="AJ169" s="43">
        <f t="shared" si="98"/>
        <v>22590180</v>
      </c>
      <c r="AK169" s="43">
        <f t="shared" si="98"/>
        <v>17090800</v>
      </c>
      <c r="AL169" s="43">
        <f t="shared" si="98"/>
        <v>45386000</v>
      </c>
      <c r="AM169" s="43">
        <f t="shared" si="98"/>
        <v>5378200</v>
      </c>
      <c r="AN169" s="43">
        <f t="shared" si="98"/>
        <v>8067000</v>
      </c>
      <c r="AO169" s="43">
        <f t="shared" si="98"/>
        <v>226048708</v>
      </c>
      <c r="AR169" s="43">
        <f>SUM(AR4:AR168)</f>
        <v>83369321</v>
      </c>
      <c r="AS169" s="43">
        <f>SUM(AS4:AS168)</f>
        <v>87940544</v>
      </c>
      <c r="AT169" s="43">
        <f>SUM(AT4:AT168)</f>
        <v>10234904</v>
      </c>
      <c r="AU169" s="43">
        <f>SUM(AU4:AU168)</f>
        <v>181544769</v>
      </c>
      <c r="AV169" s="44">
        <f>SUM(AV4:AV168)</f>
        <v>417569542</v>
      </c>
      <c r="AX169" s="43">
        <f t="shared" ref="AX169:BD169" si="99">SUM(AX4:AX168)</f>
        <v>34879353</v>
      </c>
      <c r="AY169" s="43">
        <f t="shared" si="99"/>
        <v>6096427</v>
      </c>
      <c r="AZ169" s="43">
        <f t="shared" si="99"/>
        <v>1449500</v>
      </c>
      <c r="BA169" s="43">
        <f t="shared" si="99"/>
        <v>0</v>
      </c>
      <c r="BB169" s="43">
        <f t="shared" si="99"/>
        <v>873700</v>
      </c>
      <c r="BC169" s="43">
        <f t="shared" si="99"/>
        <v>9976065</v>
      </c>
      <c r="BD169" s="43">
        <f t="shared" si="99"/>
        <v>53275045</v>
      </c>
      <c r="BH169" s="43">
        <f>SUM(BH4:BH168)</f>
        <v>1699431189.1879988</v>
      </c>
      <c r="BI169" s="43">
        <f>SUM(BI4:BI168)</f>
        <v>29928195</v>
      </c>
      <c r="BJ169" s="43">
        <f>SUM(BJ4:BJ168)</f>
        <v>6770642.1880000001</v>
      </c>
      <c r="BK169" s="43">
        <f>SUM(BK4:BK168)</f>
        <v>5686357.0499999821</v>
      </c>
      <c r="BL169" s="43">
        <f>SUM(BL4:BL168)</f>
        <v>1735045741.2379992</v>
      </c>
      <c r="BN169" s="45">
        <f>SUM(BN4:BN168)</f>
        <v>562157.76000000013</v>
      </c>
      <c r="BO169" s="45">
        <f>SUM(BO4:BO168)</f>
        <v>9900</v>
      </c>
      <c r="BP169" s="45">
        <f>SUM(BP4:BP168)</f>
        <v>1881.0000000000055</v>
      </c>
      <c r="BQ169" s="45">
        <f>SUM(BQ4:BQ168)</f>
        <v>573938.76</v>
      </c>
    </row>
    <row r="171" spans="1:76" ht="33.6" customHeight="1" x14ac:dyDescent="0.3">
      <c r="A171" s="11" t="s">
        <v>57</v>
      </c>
      <c r="B171" s="11" t="s">
        <v>58</v>
      </c>
      <c r="C171" s="11" t="s">
        <v>59</v>
      </c>
      <c r="D171" s="11" t="s">
        <v>60</v>
      </c>
      <c r="E171" s="11" t="s">
        <v>61</v>
      </c>
      <c r="F171" s="11" t="s">
        <v>62</v>
      </c>
      <c r="G171" s="11" t="s">
        <v>63</v>
      </c>
      <c r="H171" s="12" t="s">
        <v>64</v>
      </c>
      <c r="I171" s="12" t="s">
        <v>65</v>
      </c>
      <c r="J171" s="12" t="s">
        <v>66</v>
      </c>
      <c r="K171" s="11" t="s">
        <v>67</v>
      </c>
      <c r="L171" s="11" t="s">
        <v>68</v>
      </c>
      <c r="M171" s="11" t="s">
        <v>69</v>
      </c>
      <c r="N171" s="11" t="s">
        <v>70</v>
      </c>
      <c r="O171" s="11" t="s">
        <v>71</v>
      </c>
      <c r="P171" s="11" t="s">
        <v>72</v>
      </c>
      <c r="Q171" s="11" t="s">
        <v>73</v>
      </c>
      <c r="R171" s="13" t="s">
        <v>74</v>
      </c>
      <c r="S171" s="13" t="s">
        <v>75</v>
      </c>
      <c r="T171" s="14" t="s">
        <v>76</v>
      </c>
      <c r="U171" s="14" t="s">
        <v>77</v>
      </c>
      <c r="V171" s="11" t="s">
        <v>78</v>
      </c>
      <c r="W171" s="14" t="s">
        <v>79</v>
      </c>
      <c r="X171" s="14" t="s">
        <v>80</v>
      </c>
      <c r="Y171" s="14" t="s">
        <v>81</v>
      </c>
      <c r="Z171" s="14" t="s">
        <v>82</v>
      </c>
      <c r="AA171" s="14" t="s">
        <v>83</v>
      </c>
      <c r="AB171" s="14" t="s">
        <v>84</v>
      </c>
      <c r="AC171" s="14" t="s">
        <v>85</v>
      </c>
      <c r="AD171" s="14" t="s">
        <v>86</v>
      </c>
      <c r="AE171" s="14" t="s">
        <v>87</v>
      </c>
      <c r="AF171" s="11" t="s">
        <v>88</v>
      </c>
      <c r="AI171" s="14" t="s">
        <v>89</v>
      </c>
      <c r="AJ171" s="14" t="s">
        <v>90</v>
      </c>
      <c r="AK171" s="14" t="s">
        <v>91</v>
      </c>
      <c r="AL171" s="14" t="s">
        <v>92</v>
      </c>
      <c r="AM171" s="14" t="s">
        <v>93</v>
      </c>
      <c r="AN171" s="14" t="s">
        <v>94</v>
      </c>
      <c r="AO171" s="14" t="s">
        <v>95</v>
      </c>
      <c r="AR171" s="14" t="s">
        <v>96</v>
      </c>
      <c r="AS171" s="14" t="s">
        <v>97</v>
      </c>
      <c r="AT171" s="14" t="s">
        <v>98</v>
      </c>
      <c r="AU171" s="14" t="s">
        <v>95</v>
      </c>
      <c r="AV171" s="14" t="s">
        <v>99</v>
      </c>
      <c r="AX171" s="14" t="s">
        <v>100</v>
      </c>
      <c r="AY171" s="14" t="s">
        <v>101</v>
      </c>
      <c r="AZ171" s="14" t="s">
        <v>102</v>
      </c>
      <c r="BA171" s="14" t="s">
        <v>678</v>
      </c>
      <c r="BB171" s="14" t="s">
        <v>104</v>
      </c>
      <c r="BC171" s="14" t="s">
        <v>105</v>
      </c>
      <c r="BD171" s="14" t="s">
        <v>95</v>
      </c>
      <c r="BH171" s="14" t="s">
        <v>106</v>
      </c>
      <c r="BI171" s="14" t="s">
        <v>107</v>
      </c>
      <c r="BJ171" s="14" t="s">
        <v>108</v>
      </c>
      <c r="BK171" s="14" t="s">
        <v>109</v>
      </c>
      <c r="BL171" s="14" t="s">
        <v>110</v>
      </c>
      <c r="BM171" s="14" t="s">
        <v>111</v>
      </c>
      <c r="BN171" s="14" t="s">
        <v>112</v>
      </c>
      <c r="BO171" s="14" t="s">
        <v>113</v>
      </c>
      <c r="BP171" s="14" t="s">
        <v>114</v>
      </c>
      <c r="BQ171" s="14" t="s">
        <v>115</v>
      </c>
    </row>
    <row r="172" spans="1:76" ht="14.4" customHeight="1" x14ac:dyDescent="0.3">
      <c r="A172" s="50" t="s">
        <v>179</v>
      </c>
      <c r="B172" s="50" t="s">
        <v>180</v>
      </c>
      <c r="C172" s="50" t="s">
        <v>181</v>
      </c>
      <c r="D172" s="51">
        <v>46082.208518518513</v>
      </c>
      <c r="E172" s="51"/>
      <c r="F172" s="50" t="s">
        <v>122</v>
      </c>
      <c r="G172" s="50" t="s">
        <v>123</v>
      </c>
      <c r="H172" s="16" t="s">
        <v>12</v>
      </c>
      <c r="I172" s="16" t="s">
        <v>182</v>
      </c>
      <c r="J172" s="52" t="s">
        <v>679</v>
      </c>
      <c r="K172" s="16" t="s">
        <v>126</v>
      </c>
      <c r="L172" s="16">
        <v>31.94</v>
      </c>
      <c r="M172" s="53">
        <v>0</v>
      </c>
      <c r="N172" s="53">
        <v>0</v>
      </c>
      <c r="O172" s="53">
        <v>0</v>
      </c>
      <c r="P172" s="53">
        <v>0</v>
      </c>
      <c r="Q172" s="53">
        <v>0</v>
      </c>
      <c r="R172" s="53">
        <v>0</v>
      </c>
      <c r="S172" s="53">
        <v>0</v>
      </c>
      <c r="T172" s="53">
        <v>0</v>
      </c>
      <c r="U172" s="53">
        <v>-90000</v>
      </c>
      <c r="V172" s="53">
        <v>0</v>
      </c>
      <c r="W172" s="53">
        <v>0</v>
      </c>
      <c r="X172" s="53">
        <v>0</v>
      </c>
      <c r="Y172" s="53">
        <v>0</v>
      </c>
      <c r="Z172" s="53">
        <v>0</v>
      </c>
      <c r="AA172" s="53">
        <v>0</v>
      </c>
      <c r="AB172" s="53">
        <v>0</v>
      </c>
      <c r="AC172" s="53">
        <v>0</v>
      </c>
      <c r="AD172" s="53">
        <v>0</v>
      </c>
      <c r="AE172" s="53">
        <v>0</v>
      </c>
      <c r="AF172" s="54">
        <v>-90000</v>
      </c>
      <c r="AI172" s="53">
        <v>0</v>
      </c>
      <c r="AJ172" s="53">
        <v>0</v>
      </c>
      <c r="AK172" s="53">
        <v>0</v>
      </c>
      <c r="AL172" s="53">
        <v>0</v>
      </c>
      <c r="AM172" s="53">
        <v>0</v>
      </c>
      <c r="AN172" s="53">
        <v>0</v>
      </c>
      <c r="AO172" s="54">
        <v>0</v>
      </c>
      <c r="AR172" s="53">
        <v>0</v>
      </c>
      <c r="AS172" s="53">
        <v>0</v>
      </c>
      <c r="AT172" s="53">
        <v>0</v>
      </c>
      <c r="AU172" s="54">
        <v>0</v>
      </c>
      <c r="AV172" s="56">
        <v>0</v>
      </c>
      <c r="AX172" s="53">
        <v>0</v>
      </c>
      <c r="AY172" s="53">
        <v>0</v>
      </c>
      <c r="AZ172" s="53">
        <v>0</v>
      </c>
      <c r="BA172" s="53">
        <v>0</v>
      </c>
      <c r="BB172" s="53">
        <v>0</v>
      </c>
      <c r="BC172" s="53">
        <v>0</v>
      </c>
      <c r="BD172" s="58">
        <v>0</v>
      </c>
      <c r="BH172" s="59">
        <v>-90360</v>
      </c>
      <c r="BI172" s="59">
        <v>0</v>
      </c>
      <c r="BJ172" s="59">
        <v>-360</v>
      </c>
      <c r="BK172" s="59">
        <v>0</v>
      </c>
      <c r="BL172" s="59">
        <v>-90360</v>
      </c>
      <c r="BM172" s="60">
        <v>3023.05</v>
      </c>
      <c r="BN172" s="61">
        <v>-29.89</v>
      </c>
      <c r="BO172" s="61">
        <v>12</v>
      </c>
      <c r="BP172" s="61">
        <v>55</v>
      </c>
      <c r="BQ172" s="61">
        <v>-29.89</v>
      </c>
    </row>
    <row r="173" spans="1:76" ht="14.4" customHeight="1" x14ac:dyDescent="0.3">
      <c r="A173" s="50" t="s">
        <v>335</v>
      </c>
      <c r="B173" s="50" t="s">
        <v>336</v>
      </c>
      <c r="C173" s="50" t="s">
        <v>337</v>
      </c>
      <c r="D173" s="51">
        <v>45992.208518518513</v>
      </c>
      <c r="E173" s="51"/>
      <c r="F173" s="50" t="s">
        <v>122</v>
      </c>
      <c r="G173" s="50" t="s">
        <v>123</v>
      </c>
      <c r="H173" s="16" t="s">
        <v>42</v>
      </c>
      <c r="I173" s="16" t="s">
        <v>338</v>
      </c>
      <c r="J173" s="52" t="s">
        <v>679</v>
      </c>
      <c r="K173" s="16" t="s">
        <v>126</v>
      </c>
      <c r="L173" s="16">
        <v>31.94</v>
      </c>
      <c r="M173" s="53">
        <v>0</v>
      </c>
      <c r="N173" s="53">
        <v>0</v>
      </c>
      <c r="O173" s="53">
        <v>0</v>
      </c>
      <c r="P173" s="53">
        <v>0</v>
      </c>
      <c r="Q173" s="53">
        <v>0</v>
      </c>
      <c r="R173" s="53">
        <v>977143</v>
      </c>
      <c r="S173" s="53">
        <v>0</v>
      </c>
      <c r="T173" s="53">
        <v>0</v>
      </c>
      <c r="U173" s="53">
        <v>0</v>
      </c>
      <c r="V173" s="53">
        <v>0</v>
      </c>
      <c r="W173" s="53">
        <v>0</v>
      </c>
      <c r="X173" s="53">
        <v>0</v>
      </c>
      <c r="Y173" s="53">
        <v>0</v>
      </c>
      <c r="Z173" s="53">
        <v>0</v>
      </c>
      <c r="AA173" s="53">
        <v>0</v>
      </c>
      <c r="AB173" s="53">
        <v>0</v>
      </c>
      <c r="AC173" s="53">
        <v>0</v>
      </c>
      <c r="AD173" s="53">
        <v>0</v>
      </c>
      <c r="AE173" s="53">
        <v>0</v>
      </c>
      <c r="AF173" s="54">
        <v>977143</v>
      </c>
      <c r="AI173" s="53">
        <v>117314</v>
      </c>
      <c r="AJ173" s="53">
        <v>0</v>
      </c>
      <c r="AK173" s="53">
        <v>23800</v>
      </c>
      <c r="AL173" s="53">
        <v>39100</v>
      </c>
      <c r="AM173" s="53">
        <v>0</v>
      </c>
      <c r="AN173" s="53">
        <v>0</v>
      </c>
      <c r="AO173" s="54">
        <v>180214</v>
      </c>
      <c r="AR173" s="53">
        <v>81429</v>
      </c>
      <c r="AS173" s="53">
        <v>81429</v>
      </c>
      <c r="AT173" s="53">
        <v>6514</v>
      </c>
      <c r="AU173" s="54">
        <v>169372</v>
      </c>
      <c r="AV173" s="56">
        <v>349586</v>
      </c>
      <c r="AX173" s="53">
        <v>0</v>
      </c>
      <c r="AY173" s="53">
        <v>0</v>
      </c>
      <c r="AZ173" s="53">
        <v>0</v>
      </c>
      <c r="BA173" s="53">
        <v>0</v>
      </c>
      <c r="BB173" s="53">
        <v>0</v>
      </c>
      <c r="BC173" s="53">
        <v>0</v>
      </c>
      <c r="BD173" s="58">
        <v>0</v>
      </c>
      <c r="BH173" s="59">
        <v>1332035.916</v>
      </c>
      <c r="BI173" s="59">
        <v>0</v>
      </c>
      <c r="BJ173" s="59">
        <v>5306.9160000000002</v>
      </c>
      <c r="BK173" s="59">
        <v>0</v>
      </c>
      <c r="BL173" s="59">
        <v>1332035.916</v>
      </c>
      <c r="BM173" s="60">
        <v>3023.05</v>
      </c>
      <c r="BN173" s="61">
        <v>440.63</v>
      </c>
      <c r="BO173" s="61">
        <v>44</v>
      </c>
      <c r="BP173" s="61">
        <v>0</v>
      </c>
      <c r="BQ173" s="61">
        <v>440.63</v>
      </c>
    </row>
    <row r="174" spans="1:76" ht="14.4" customHeight="1" x14ac:dyDescent="0.3">
      <c r="A174" s="50" t="s">
        <v>680</v>
      </c>
      <c r="B174" s="50" t="s">
        <v>681</v>
      </c>
      <c r="C174" s="50" t="s">
        <v>682</v>
      </c>
      <c r="D174" s="51">
        <v>46153.208518518513</v>
      </c>
      <c r="E174" s="51">
        <v>46244.208518518513</v>
      </c>
      <c r="F174" s="50" t="s">
        <v>610</v>
      </c>
      <c r="G174" s="50" t="s">
        <v>123</v>
      </c>
      <c r="H174" s="16" t="s">
        <v>15</v>
      </c>
      <c r="I174" s="16" t="s">
        <v>148</v>
      </c>
      <c r="J174" s="52" t="s">
        <v>679</v>
      </c>
      <c r="K174" s="16" t="s">
        <v>126</v>
      </c>
      <c r="L174" s="16">
        <v>31.94</v>
      </c>
      <c r="M174" s="53">
        <v>0</v>
      </c>
      <c r="N174" s="53">
        <v>0</v>
      </c>
      <c r="O174" s="53">
        <v>0</v>
      </c>
      <c r="P174" s="53">
        <v>0</v>
      </c>
      <c r="Q174" s="53">
        <v>797262</v>
      </c>
      <c r="R174" s="53">
        <v>542857</v>
      </c>
      <c r="S174" s="53">
        <v>0</v>
      </c>
      <c r="T174" s="53">
        <v>0</v>
      </c>
      <c r="U174" s="53">
        <v>0</v>
      </c>
      <c r="V174" s="53">
        <v>0</v>
      </c>
      <c r="W174" s="53">
        <v>0</v>
      </c>
      <c r="X174" s="53">
        <v>0</v>
      </c>
      <c r="Y174" s="53">
        <v>0</v>
      </c>
      <c r="Z174" s="53">
        <v>0</v>
      </c>
      <c r="AA174" s="53">
        <v>0</v>
      </c>
      <c r="AB174" s="53">
        <v>0</v>
      </c>
      <c r="AC174" s="53">
        <v>180952</v>
      </c>
      <c r="AD174" s="53">
        <v>0</v>
      </c>
      <c r="AE174" s="53">
        <v>0</v>
      </c>
      <c r="AF174" s="54">
        <v>1521071</v>
      </c>
      <c r="AI174" s="53">
        <v>65086</v>
      </c>
      <c r="AJ174" s="53">
        <v>0</v>
      </c>
      <c r="AK174" s="53">
        <v>2800</v>
      </c>
      <c r="AL174" s="53">
        <v>53600</v>
      </c>
      <c r="AM174" s="53">
        <v>0</v>
      </c>
      <c r="AN174" s="53">
        <v>0</v>
      </c>
      <c r="AO174" s="54">
        <v>121486</v>
      </c>
      <c r="AR174" s="53">
        <v>45238</v>
      </c>
      <c r="AS174" s="53">
        <v>45239</v>
      </c>
      <c r="AT174" s="53">
        <v>1358</v>
      </c>
      <c r="AU174" s="54">
        <v>91835</v>
      </c>
      <c r="AV174" s="56">
        <v>213321</v>
      </c>
      <c r="AX174" s="53">
        <v>0</v>
      </c>
      <c r="AY174" s="53">
        <v>0</v>
      </c>
      <c r="AZ174" s="53">
        <v>0</v>
      </c>
      <c r="BA174" s="53">
        <v>0</v>
      </c>
      <c r="BB174" s="53">
        <v>0</v>
      </c>
      <c r="BC174" s="53">
        <v>0</v>
      </c>
      <c r="BD174" s="58">
        <v>0</v>
      </c>
      <c r="BH174" s="59">
        <v>1741329.568</v>
      </c>
      <c r="BI174" s="59">
        <v>0</v>
      </c>
      <c r="BJ174" s="59">
        <v>6937.5680000000002</v>
      </c>
      <c r="BK174" s="59">
        <v>0</v>
      </c>
      <c r="BL174" s="59">
        <v>1741329.568</v>
      </c>
      <c r="BM174" s="60">
        <v>3023.05</v>
      </c>
      <c r="BN174" s="61">
        <v>576.02</v>
      </c>
      <c r="BO174" s="61">
        <v>60</v>
      </c>
      <c r="BP174" s="61">
        <v>33</v>
      </c>
      <c r="BQ174" s="61">
        <v>576.02</v>
      </c>
    </row>
    <row r="175" spans="1:76" ht="14.4" customHeight="1" x14ac:dyDescent="0.3">
      <c r="A175" s="50" t="s">
        <v>567</v>
      </c>
      <c r="B175" s="50" t="s">
        <v>568</v>
      </c>
      <c r="C175" s="50" t="s">
        <v>569</v>
      </c>
      <c r="D175" s="51">
        <v>45992.208518518513</v>
      </c>
      <c r="E175" s="51"/>
      <c r="F175" s="50" t="s">
        <v>122</v>
      </c>
      <c r="G175" s="50" t="s">
        <v>123</v>
      </c>
      <c r="H175" s="16" t="s">
        <v>42</v>
      </c>
      <c r="I175" s="16" t="s">
        <v>338</v>
      </c>
      <c r="J175" s="52" t="s">
        <v>679</v>
      </c>
      <c r="K175" s="16" t="s">
        <v>126</v>
      </c>
      <c r="L175" s="16">
        <v>31.94</v>
      </c>
      <c r="M175" s="53">
        <v>0</v>
      </c>
      <c r="N175" s="53">
        <v>0</v>
      </c>
      <c r="O175" s="53">
        <v>0</v>
      </c>
      <c r="P175" s="53">
        <v>0</v>
      </c>
      <c r="Q175" s="53">
        <v>0</v>
      </c>
      <c r="R175" s="53">
        <v>781714</v>
      </c>
      <c r="S175" s="53">
        <v>0</v>
      </c>
      <c r="T175" s="53">
        <v>0</v>
      </c>
      <c r="U175" s="53">
        <v>0</v>
      </c>
      <c r="V175" s="53">
        <v>0</v>
      </c>
      <c r="W175" s="53">
        <v>0</v>
      </c>
      <c r="X175" s="53">
        <v>0</v>
      </c>
      <c r="Y175" s="53">
        <v>0</v>
      </c>
      <c r="Z175" s="53">
        <v>0</v>
      </c>
      <c r="AA175" s="53">
        <v>0</v>
      </c>
      <c r="AB175" s="53">
        <v>0</v>
      </c>
      <c r="AC175" s="53">
        <v>0</v>
      </c>
      <c r="AD175" s="53">
        <v>0</v>
      </c>
      <c r="AE175" s="53">
        <v>0</v>
      </c>
      <c r="AF175" s="54">
        <v>781714</v>
      </c>
      <c r="AI175" s="53">
        <v>93831</v>
      </c>
      <c r="AJ175" s="53">
        <v>0</v>
      </c>
      <c r="AK175" s="53">
        <v>19100</v>
      </c>
      <c r="AL175" s="53">
        <v>31300</v>
      </c>
      <c r="AM175" s="53">
        <v>0</v>
      </c>
      <c r="AN175" s="53">
        <v>0</v>
      </c>
      <c r="AO175" s="54">
        <v>144231</v>
      </c>
      <c r="AR175" s="53">
        <v>65143</v>
      </c>
      <c r="AS175" s="53">
        <v>65143</v>
      </c>
      <c r="AT175" s="53">
        <v>5211</v>
      </c>
      <c r="AU175" s="54">
        <v>135497</v>
      </c>
      <c r="AV175" s="56">
        <v>279728</v>
      </c>
      <c r="AX175" s="53">
        <v>0</v>
      </c>
      <c r="AY175" s="53">
        <v>0</v>
      </c>
      <c r="AZ175" s="53">
        <v>0</v>
      </c>
      <c r="BA175" s="53">
        <v>0</v>
      </c>
      <c r="BB175" s="53">
        <v>0</v>
      </c>
      <c r="BC175" s="53">
        <v>0</v>
      </c>
      <c r="BD175" s="58">
        <v>0</v>
      </c>
      <c r="BH175" s="59">
        <v>1065687.7679999999</v>
      </c>
      <c r="BI175" s="59">
        <v>0</v>
      </c>
      <c r="BJ175" s="59">
        <v>4245.768</v>
      </c>
      <c r="BK175" s="59">
        <v>0</v>
      </c>
      <c r="BL175" s="59">
        <v>1065687.7679999999</v>
      </c>
      <c r="BM175" s="60">
        <v>3023.05</v>
      </c>
      <c r="BN175" s="61">
        <v>352.52</v>
      </c>
      <c r="BO175" s="61">
        <v>0</v>
      </c>
      <c r="BP175" s="61">
        <v>111</v>
      </c>
      <c r="BQ175" s="61">
        <v>352.52</v>
      </c>
    </row>
    <row r="176" spans="1:76" ht="14.4" customHeight="1" x14ac:dyDescent="0.3">
      <c r="A176" s="50" t="s">
        <v>683</v>
      </c>
      <c r="B176" s="50" t="s">
        <v>684</v>
      </c>
      <c r="C176" s="50" t="s">
        <v>685</v>
      </c>
      <c r="D176" s="51">
        <v>46204.208518518513</v>
      </c>
      <c r="E176" s="51"/>
      <c r="F176" s="50" t="s">
        <v>122</v>
      </c>
      <c r="G176" s="50" t="s">
        <v>123</v>
      </c>
      <c r="H176" s="16" t="s">
        <v>43</v>
      </c>
      <c r="I176" s="16" t="s">
        <v>140</v>
      </c>
      <c r="J176" s="52" t="s">
        <v>679</v>
      </c>
      <c r="K176" s="16" t="s">
        <v>126</v>
      </c>
      <c r="L176" s="16">
        <v>31.94</v>
      </c>
      <c r="M176" s="53">
        <v>-1026666</v>
      </c>
      <c r="N176" s="53">
        <v>0</v>
      </c>
      <c r="O176" s="53">
        <v>0</v>
      </c>
      <c r="P176" s="53">
        <v>0</v>
      </c>
      <c r="Q176" s="53">
        <v>312400</v>
      </c>
      <c r="R176" s="53">
        <v>0</v>
      </c>
      <c r="S176" s="53">
        <v>0</v>
      </c>
      <c r="T176" s="53">
        <v>0</v>
      </c>
      <c r="U176" s="53">
        <v>0</v>
      </c>
      <c r="V176" s="53">
        <v>0</v>
      </c>
      <c r="W176" s="53">
        <v>0</v>
      </c>
      <c r="X176" s="53">
        <v>0</v>
      </c>
      <c r="Y176" s="53">
        <v>0</v>
      </c>
      <c r="Z176" s="53">
        <v>0</v>
      </c>
      <c r="AA176" s="53">
        <v>0</v>
      </c>
      <c r="AB176" s="53">
        <v>0</v>
      </c>
      <c r="AC176" s="53">
        <v>0</v>
      </c>
      <c r="AD176" s="53">
        <v>0</v>
      </c>
      <c r="AE176" s="53">
        <v>0</v>
      </c>
      <c r="AF176" s="54">
        <v>-714266</v>
      </c>
      <c r="AI176" s="53">
        <v>-123133</v>
      </c>
      <c r="AJ176" s="53">
        <v>0</v>
      </c>
      <c r="AK176" s="53">
        <v>-5300</v>
      </c>
      <c r="AL176" s="53">
        <v>-28500</v>
      </c>
      <c r="AM176" s="53">
        <v>0</v>
      </c>
      <c r="AN176" s="53">
        <v>0</v>
      </c>
      <c r="AO176" s="54">
        <v>-156933</v>
      </c>
      <c r="AR176" s="53">
        <v>-110000</v>
      </c>
      <c r="AS176" s="53">
        <v>-110000</v>
      </c>
      <c r="AT176" s="53">
        <v>-4070</v>
      </c>
      <c r="AU176" s="54">
        <v>-224070</v>
      </c>
      <c r="AV176" s="56">
        <v>-381003</v>
      </c>
      <c r="AX176" s="53">
        <v>0</v>
      </c>
      <c r="AY176" s="53">
        <v>0</v>
      </c>
      <c r="AZ176" s="53">
        <v>0</v>
      </c>
      <c r="BA176" s="53">
        <v>0</v>
      </c>
      <c r="BB176" s="53">
        <v>0</v>
      </c>
      <c r="BC176" s="53">
        <v>0</v>
      </c>
      <c r="BD176" s="58">
        <v>0</v>
      </c>
      <c r="BH176" s="59">
        <v>-1099650.0759999999</v>
      </c>
      <c r="BI176" s="59">
        <v>0</v>
      </c>
      <c r="BJ176" s="59">
        <v>-4381.076</v>
      </c>
      <c r="BK176" s="59">
        <v>0</v>
      </c>
      <c r="BL176" s="59">
        <v>-1099650.0759999999</v>
      </c>
      <c r="BM176" s="60">
        <v>3023.05</v>
      </c>
      <c r="BN176" s="61">
        <v>-363.76</v>
      </c>
      <c r="BO176" s="61">
        <v>0</v>
      </c>
      <c r="BP176" s="61">
        <v>0</v>
      </c>
      <c r="BQ176" s="61">
        <v>-363.76</v>
      </c>
    </row>
    <row r="177" spans="1:70" ht="14.4" customHeight="1" x14ac:dyDescent="0.3">
      <c r="A177" s="50" t="s">
        <v>686</v>
      </c>
      <c r="B177" s="50" t="s">
        <v>687</v>
      </c>
      <c r="C177" s="50" t="s">
        <v>688</v>
      </c>
      <c r="D177" s="51">
        <v>45721.208518518513</v>
      </c>
      <c r="E177" s="51"/>
      <c r="F177" s="50" t="s">
        <v>122</v>
      </c>
      <c r="G177" s="50" t="s">
        <v>123</v>
      </c>
      <c r="H177" s="16" t="s">
        <v>689</v>
      </c>
      <c r="I177" s="16" t="s">
        <v>690</v>
      </c>
      <c r="J177" s="52" t="s">
        <v>679</v>
      </c>
      <c r="K177" s="16" t="s">
        <v>126</v>
      </c>
      <c r="L177" s="16">
        <v>31.94</v>
      </c>
      <c r="M177" s="53">
        <v>-4000000</v>
      </c>
      <c r="N177" s="53">
        <v>0</v>
      </c>
      <c r="O177" s="53">
        <v>0</v>
      </c>
      <c r="P177" s="53">
        <v>0</v>
      </c>
      <c r="Q177" s="53">
        <v>3610000</v>
      </c>
      <c r="R177" s="53">
        <v>0</v>
      </c>
      <c r="S177" s="53">
        <v>0</v>
      </c>
      <c r="T177" s="53">
        <v>0</v>
      </c>
      <c r="U177" s="53">
        <v>0</v>
      </c>
      <c r="V177" s="53">
        <v>0</v>
      </c>
      <c r="W177" s="53">
        <v>0</v>
      </c>
      <c r="X177" s="53">
        <v>0</v>
      </c>
      <c r="Y177" s="53">
        <v>0</v>
      </c>
      <c r="Z177" s="53">
        <v>0</v>
      </c>
      <c r="AA177" s="53">
        <v>0</v>
      </c>
      <c r="AB177" s="53">
        <v>0</v>
      </c>
      <c r="AC177" s="53">
        <v>13036667</v>
      </c>
      <c r="AD177" s="53">
        <v>0</v>
      </c>
      <c r="AE177" s="53">
        <v>0</v>
      </c>
      <c r="AF177" s="54">
        <v>12646667</v>
      </c>
      <c r="AI177" s="53">
        <v>-480000</v>
      </c>
      <c r="AJ177" s="53">
        <v>0</v>
      </c>
      <c r="AK177" s="53">
        <v>-97400</v>
      </c>
      <c r="AL177" s="53">
        <v>-15600</v>
      </c>
      <c r="AM177" s="53">
        <v>0</v>
      </c>
      <c r="AN177" s="53">
        <v>0</v>
      </c>
      <c r="AO177" s="54">
        <v>-593000</v>
      </c>
      <c r="AR177" s="53">
        <v>-333334</v>
      </c>
      <c r="AS177" s="53">
        <v>-333334</v>
      </c>
      <c r="AT177" s="53">
        <v>-52000</v>
      </c>
      <c r="AU177" s="54">
        <v>-718668</v>
      </c>
      <c r="AV177" s="56">
        <v>-1311668</v>
      </c>
      <c r="AX177" s="53">
        <v>0</v>
      </c>
      <c r="AY177" s="53">
        <v>0</v>
      </c>
      <c r="AZ177" s="53">
        <v>0</v>
      </c>
      <c r="BA177" s="53">
        <v>0</v>
      </c>
      <c r="BB177" s="53">
        <v>0</v>
      </c>
      <c r="BC177" s="53">
        <v>0</v>
      </c>
      <c r="BD177" s="58">
        <v>0</v>
      </c>
      <c r="BH177" s="59">
        <v>11380338.995999999</v>
      </c>
      <c r="BI177" s="59">
        <v>0</v>
      </c>
      <c r="BJ177" s="59">
        <v>45339.995999999999</v>
      </c>
      <c r="BK177" s="59">
        <v>0</v>
      </c>
      <c r="BL177" s="59">
        <v>11380338.995999999</v>
      </c>
      <c r="BM177" s="60">
        <v>3023.05</v>
      </c>
      <c r="BN177" s="61">
        <v>3764.52</v>
      </c>
      <c r="BO177" s="61">
        <v>0</v>
      </c>
      <c r="BP177" s="61">
        <v>0</v>
      </c>
      <c r="BQ177" s="61">
        <v>3764.52</v>
      </c>
    </row>
    <row r="178" spans="1:70" ht="14.4" customHeight="1" x14ac:dyDescent="0.3">
      <c r="M178" s="55">
        <v>-5026666</v>
      </c>
      <c r="N178" s="55">
        <v>0</v>
      </c>
      <c r="O178" s="55">
        <v>0</v>
      </c>
      <c r="P178" s="55">
        <v>0</v>
      </c>
      <c r="Q178" s="55">
        <v>4719662</v>
      </c>
      <c r="R178" s="55">
        <v>2301714</v>
      </c>
      <c r="S178" s="55">
        <v>0</v>
      </c>
      <c r="T178" s="55">
        <v>0</v>
      </c>
      <c r="U178" s="55">
        <v>-90000</v>
      </c>
      <c r="V178" s="55">
        <v>0</v>
      </c>
      <c r="W178" s="55">
        <v>0</v>
      </c>
      <c r="X178" s="55">
        <v>0</v>
      </c>
      <c r="Y178" s="55">
        <v>0</v>
      </c>
      <c r="Z178" s="55">
        <v>0</v>
      </c>
      <c r="AA178" s="55">
        <v>0</v>
      </c>
      <c r="AB178" s="55">
        <v>0</v>
      </c>
      <c r="AC178" s="55">
        <v>13217619</v>
      </c>
      <c r="AD178" s="55">
        <v>0</v>
      </c>
      <c r="AE178" s="55">
        <v>0</v>
      </c>
      <c r="AF178" s="55">
        <v>15122329</v>
      </c>
      <c r="AI178" s="55">
        <v>-326902</v>
      </c>
      <c r="AJ178" s="55">
        <v>0</v>
      </c>
      <c r="AK178" s="55">
        <v>-57000</v>
      </c>
      <c r="AL178" s="55">
        <v>79900</v>
      </c>
      <c r="AM178" s="55">
        <v>0</v>
      </c>
      <c r="AN178" s="55">
        <v>0</v>
      </c>
      <c r="AO178" s="55">
        <v>-304002</v>
      </c>
      <c r="AR178" s="55">
        <v>-251524</v>
      </c>
      <c r="AS178" s="55">
        <v>-251523</v>
      </c>
      <c r="AT178" s="55">
        <v>-42987</v>
      </c>
      <c r="AU178" s="55">
        <v>-546034</v>
      </c>
      <c r="AV178" s="57">
        <v>-850036</v>
      </c>
      <c r="AX178" s="55">
        <v>0</v>
      </c>
      <c r="AY178" s="55">
        <v>0</v>
      </c>
      <c r="AZ178" s="55">
        <v>0</v>
      </c>
      <c r="BA178" s="55">
        <v>0</v>
      </c>
      <c r="BB178" s="55">
        <v>0</v>
      </c>
      <c r="BC178" s="55">
        <v>0</v>
      </c>
      <c r="BD178" s="55">
        <v>0</v>
      </c>
      <c r="BH178" s="55">
        <v>14329382.172</v>
      </c>
      <c r="BI178" s="55">
        <v>0</v>
      </c>
      <c r="BJ178" s="55">
        <v>57089.171999999999</v>
      </c>
      <c r="BK178" s="55">
        <v>0</v>
      </c>
      <c r="BL178" s="55">
        <v>14329382.172</v>
      </c>
      <c r="BM178" s="20"/>
      <c r="BN178" s="55">
        <v>4740.04</v>
      </c>
      <c r="BO178" s="55">
        <f>SUM(BO172:BO177)</f>
        <v>116</v>
      </c>
      <c r="BP178" s="55">
        <f>SUM(BP172:BP177)</f>
        <v>199</v>
      </c>
      <c r="BQ178" s="55">
        <v>4740.04</v>
      </c>
    </row>
    <row r="180" spans="1:70" ht="14.4" customHeight="1" x14ac:dyDescent="0.3">
      <c r="BH180" s="64">
        <f>+SUM(M4:AE168,AI4:AN168,AR4:AT168,AX4:BC168,M172:AE177,AI172:AN177,AR172:AT177,AX172:BC177)</f>
        <v>1706932840</v>
      </c>
      <c r="BN180" s="65">
        <f>+SUM(BN169,BN178)</f>
        <v>566897.80000000016</v>
      </c>
      <c r="BQ180" s="62">
        <f>BQ169+BQ178</f>
        <v>578678.80000000005</v>
      </c>
      <c r="BR180" s="63" t="s">
        <v>691</v>
      </c>
    </row>
    <row r="182" spans="1:70" ht="14.4" customHeight="1" x14ac:dyDescent="0.3">
      <c r="BH182" s="64">
        <f>+SUM(BH180,BI169:BK169,BJ178)</f>
        <v>1749375123.4099998</v>
      </c>
    </row>
    <row r="184" spans="1:70" ht="14.4" customHeight="1" x14ac:dyDescent="0.3">
      <c r="BH184" s="65">
        <f>+BH182/BM177</f>
        <v>578678.85857329506</v>
      </c>
    </row>
  </sheetData>
  <mergeCells count="4">
    <mergeCell ref="AI2:AO2"/>
    <mergeCell ref="AR2:AT2"/>
    <mergeCell ref="AX2:BD2"/>
    <mergeCell ref="BH2:B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TD</vt:lpstr>
      <vt:lpstr>Invoicing</vt:lpstr>
      <vt:lpstr>_FilterDatabase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2026-03-04T15:02:48Z</dcterms:created>
  <dcterms:modified xsi:type="dcterms:W3CDTF">2026-10-05T20:31:27Z</dcterms:modified>
  <cp:category/>
  <cp:contentStatus/>
</cp:coreProperties>
</file>