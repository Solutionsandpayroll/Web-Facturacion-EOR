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\Documents\S&amp;P\Documentos automatizacion\EOR\Web facturación\public\"/>
    </mc:Choice>
  </mc:AlternateContent>
  <xr:revisionPtr revIDLastSave="0" documentId="13_ncr:1_{4C7958E1-6F9D-4C34-9320-9A2B95D7AAE5}" xr6:coauthVersionLast="47" xr6:coauthVersionMax="47" xr10:uidLastSave="{00000000-0000-0000-0000-000000000000}"/>
  <bookViews>
    <workbookView xWindow="-108" yWindow="-108" windowWidth="23256" windowHeight="12456" xr2:uid="{7C2F0237-C030-49A0-B1F1-0009A5922E79}"/>
  </bookViews>
  <sheets>
    <sheet name="INVOICING" sheetId="2" r:id="rId1"/>
  </sheets>
  <definedNames>
    <definedName name="_xlnm._FilterDatabase" localSheetId="0" hidden="1">INVOICING!$A$3:$BN$3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5" i="2" l="1"/>
  <c r="AX5" i="2"/>
  <c r="AW5" i="2"/>
  <c r="AV5" i="2"/>
  <c r="AU5" i="2"/>
  <c r="AR5" i="2"/>
  <c r="AQ5" i="2"/>
  <c r="AP5" i="2"/>
  <c r="AM5" i="2"/>
  <c r="AL5" i="2"/>
  <c r="AK5" i="2"/>
  <c r="AJ5" i="2"/>
  <c r="AI5" i="2"/>
  <c r="AH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BD4" i="2"/>
  <c r="BD5" i="2" s="1"/>
  <c r="BC4" i="2"/>
  <c r="BC5" i="2" s="1"/>
  <c r="AZ4" i="2"/>
  <c r="AZ5" i="2" s="1"/>
  <c r="AT4" i="2"/>
  <c r="AS4" i="2"/>
  <c r="AS5" i="2" s="1"/>
  <c r="AN4" i="2"/>
  <c r="AN5" i="2" s="1"/>
  <c r="AF4" i="2"/>
  <c r="BL2" i="2"/>
  <c r="BB4" i="2" l="1"/>
  <c r="BE4" i="2"/>
  <c r="BI4" i="2"/>
  <c r="BI5" i="2" s="1"/>
  <c r="BJ4" i="2" l="1"/>
  <c r="BJ5" i="2" s="1"/>
  <c r="BE5" i="2"/>
  <c r="BH4" i="2"/>
  <c r="BF4" i="2"/>
  <c r="BF5" i="2" s="1"/>
  <c r="BB5" i="2"/>
  <c r="BK4" i="2" l="1"/>
  <c r="BH5" i="2"/>
  <c r="BK5" i="2" l="1"/>
  <c r="BM5" i="2" s="1"/>
  <c r="BM4" i="2"/>
</calcChain>
</file>

<file path=xl/sharedStrings.xml><?xml version="1.0" encoding="utf-8"?>
<sst xmlns="http://schemas.openxmlformats.org/spreadsheetml/2006/main" count="70" uniqueCount="67">
  <si>
    <t>COST REPORT</t>
  </si>
  <si>
    <t>SOCIAL SECURITY EMPLOYER COSTS</t>
  </si>
  <si>
    <t>LEGAL BENEFITS</t>
  </si>
  <si>
    <t>OTHER EMPLOYER COST</t>
  </si>
  <si>
    <t>TOTALS</t>
  </si>
  <si>
    <t>EMPLOYEE CODE</t>
  </si>
  <si>
    <t>EE RF WID</t>
  </si>
  <si>
    <t>NAME</t>
  </si>
  <si>
    <t>Onboarding Date</t>
  </si>
  <si>
    <t>Offboarding Date</t>
  </si>
  <si>
    <t>EE Status (onboarding/active/offboarding)</t>
  </si>
  <si>
    <t>Country</t>
  </si>
  <si>
    <t>Customer Name</t>
  </si>
  <si>
    <t>Customer ID</t>
  </si>
  <si>
    <t>Payroll Month</t>
  </si>
  <si>
    <t>Service Type / Invoice Type</t>
  </si>
  <si>
    <t>ER SS rate %</t>
  </si>
  <si>
    <t>SALARY</t>
  </si>
  <si>
    <t>Rectroactive payment/Plus Compensation</t>
  </si>
  <si>
    <t>"Sick" Leave</t>
  </si>
  <si>
    <t>Alloawance 1 (Car Allowance)</t>
  </si>
  <si>
    <t>Unused Holidays</t>
  </si>
  <si>
    <t>Overtime</t>
  </si>
  <si>
    <t>Bonus/Commission</t>
  </si>
  <si>
    <t xml:space="preserve">Deduction or Gross Amount adjustments prevous month </t>
  </si>
  <si>
    <t>Alloawance 2 (Mobile &amp; Internet Allowance)</t>
  </si>
  <si>
    <t>Food allowance</t>
  </si>
  <si>
    <t>Alloawance 3 (Home/Remote work allowance)</t>
  </si>
  <si>
    <t>Alloawance 4 (Other allowances)</t>
  </si>
  <si>
    <t>Sign-on Bonus</t>
  </si>
  <si>
    <t>Transport allowance</t>
  </si>
  <si>
    <t>Wellness Allowance</t>
  </si>
  <si>
    <t>On Call/ Plus Disponibilidad</t>
  </si>
  <si>
    <t>Severance Pay (Taxable)</t>
  </si>
  <si>
    <t>Lieu of Notice</t>
  </si>
  <si>
    <t>Paternity/ Maternity leave</t>
  </si>
  <si>
    <t>PAYMENTS</t>
  </si>
  <si>
    <t>PENSION COST</t>
  </si>
  <si>
    <t>HEALTH COST</t>
  </si>
  <si>
    <t>LABOR RISK COST</t>
  </si>
  <si>
    <t>FAMILY FUND COST</t>
  </si>
  <si>
    <t>SENA COST</t>
  </si>
  <si>
    <t>ICBF COST</t>
  </si>
  <si>
    <t>TOTAL</t>
  </si>
  <si>
    <t>13TH SALARY</t>
  </si>
  <si>
    <t>14TH SALARY</t>
  </si>
  <si>
    <t>INTEREST ON 14TH SALARY</t>
  </si>
  <si>
    <t>TOTAL COST AND LEGAL BENEFITS</t>
  </si>
  <si>
    <t>EXPENSES</t>
  </si>
  <si>
    <t>HEALTH INSURANCE</t>
  </si>
  <si>
    <t>MEDICAL TEST</t>
  </si>
  <si>
    <t>LEAVE PAID REFOUND</t>
  </si>
  <si>
    <t>PARKING COST</t>
  </si>
  <si>
    <t>TOTAL EMPLOYEE COST</t>
  </si>
  <si>
    <t>FEE</t>
  </si>
  <si>
    <t>BANKING TAX</t>
  </si>
  <si>
    <t>IVA</t>
  </si>
  <si>
    <t>TOTAL COP</t>
  </si>
  <si>
    <t>EXCHANGE RATE</t>
  </si>
  <si>
    <t>TOTAL EMPLOYEE COST USD</t>
  </si>
  <si>
    <t>FEE USD</t>
  </si>
  <si>
    <t>VAT</t>
  </si>
  <si>
    <t>TOTAL USD</t>
  </si>
  <si>
    <t>PLATFORM</t>
  </si>
  <si>
    <t>DIFERENCE</t>
  </si>
  <si>
    <t>TOTALES</t>
  </si>
  <si>
    <r>
      <t xml:space="preserve">Payroll </t>
    </r>
    <r>
      <rPr>
        <b/>
        <sz val="11"/>
        <color rgb="FFFF0000"/>
        <rFont val="Calibri"/>
        <family val="2"/>
      </rPr>
      <t>Adjustments</t>
    </r>
    <r>
      <rPr>
        <b/>
        <sz val="11"/>
        <rFont val="Calibri"/>
        <family val="2"/>
      </rPr>
      <t xml:space="preserve"> (Previous months) Breakdown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</si>
</sst>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000"/>
    <numFmt numFmtId="165" formatCode="mmmm&quot;, &quot;yyyy"/>
    <numFmt numFmtId="166" formatCode="[$-10C0A]#,##0;\(#,##0\)"/>
    <numFmt numFmtId="167" formatCode="[$-10C0A]#,##0.00;\(#,##0.00\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Calibri"/>
      <family val="2"/>
    </font>
    <font>
      <sz val="14"/>
      <color rgb="FF1C3A70"/>
      <name val="Tahoma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color theme="0"/>
      <name val="Tahoma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sz val="7"/>
      <color theme="1"/>
      <name val="Tahoma"/>
      <family val="2"/>
    </font>
    <font>
      <b/>
      <sz val="7"/>
      <color theme="0"/>
      <name val="Tahoma"/>
      <family val="2"/>
    </font>
    <font>
      <b/>
      <sz val="7"/>
      <color rgb="FF000000"/>
      <name val="Tahoma"/>
      <family val="2"/>
    </font>
    <font>
      <b/>
      <sz val="7"/>
      <name val="Tahoma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1F4763"/>
        <bgColor rgb="FF1F476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1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DCFAFA"/>
        <bgColor rgb="FFDCFAFA"/>
      </patternFill>
    </fill>
  </fills>
  <borders count="7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2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horizontal="left" vertical="center" wrapText="1" readingOrder="1"/>
    </xf>
    <xf numFmtId="0" fontId="4" fillId="0" borderId="0" xfId="2" applyFont="1" applyAlignment="1">
      <alignment horizontal="left" vertical="center" readingOrder="1"/>
    </xf>
    <xf numFmtId="0" fontId="5" fillId="0" borderId="1" xfId="2" applyFont="1" applyBorder="1" applyAlignment="1">
      <alignment vertical="center" wrapText="1"/>
    </xf>
    <xf numFmtId="0" fontId="2" fillId="0" borderId="0" xfId="2" applyAlignment="1">
      <alignment vertical="center"/>
    </xf>
    <xf numFmtId="0" fontId="5" fillId="0" borderId="0" xfId="2" applyFont="1" applyAlignment="1">
      <alignment vertical="center"/>
    </xf>
    <xf numFmtId="0" fontId="6" fillId="0" borderId="0" xfId="2" applyFont="1"/>
    <xf numFmtId="2" fontId="2" fillId="0" borderId="0" xfId="2" applyNumberFormat="1" applyAlignment="1">
      <alignment vertical="center"/>
    </xf>
    <xf numFmtId="0" fontId="7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164" fontId="6" fillId="0" borderId="0" xfId="2" applyNumberFormat="1" applyFont="1"/>
    <xf numFmtId="0" fontId="9" fillId="3" borderId="5" xfId="2" applyFont="1" applyFill="1" applyBorder="1" applyAlignment="1">
      <alignment horizontal="center" vertical="center" wrapText="1" readingOrder="1"/>
    </xf>
    <xf numFmtId="0" fontId="9" fillId="3" borderId="5" xfId="2" applyFont="1" applyFill="1" applyBorder="1" applyAlignment="1">
      <alignment horizontal="center" vertical="center" readingOrder="1"/>
    </xf>
    <xf numFmtId="0" fontId="9" fillId="4" borderId="5" xfId="2" applyFont="1" applyFill="1" applyBorder="1" applyAlignment="1">
      <alignment horizontal="center" vertical="center" wrapText="1" readingOrder="1"/>
    </xf>
    <xf numFmtId="0" fontId="9" fillId="3" borderId="6" xfId="2" applyFont="1" applyFill="1" applyBorder="1" applyAlignment="1">
      <alignment horizontal="center" vertical="center" wrapText="1" readingOrder="1"/>
    </xf>
    <xf numFmtId="0" fontId="9" fillId="0" borderId="0" xfId="2" applyFont="1" applyAlignment="1">
      <alignment horizontal="center" vertical="center" wrapText="1" readingOrder="1"/>
    </xf>
    <xf numFmtId="0" fontId="10" fillId="0" borderId="5" xfId="2" applyFont="1" applyBorder="1" applyAlignment="1">
      <alignment vertical="center" wrapText="1" readingOrder="1"/>
    </xf>
    <xf numFmtId="14" fontId="10" fillId="0" borderId="5" xfId="2" applyNumberFormat="1" applyFont="1" applyBorder="1" applyAlignment="1">
      <alignment vertical="center" wrapText="1" readingOrder="1"/>
    </xf>
    <xf numFmtId="0" fontId="10" fillId="0" borderId="5" xfId="2" applyFont="1" applyBorder="1" applyAlignment="1">
      <alignment vertical="center" readingOrder="1"/>
    </xf>
    <xf numFmtId="165" fontId="11" fillId="0" borderId="5" xfId="2" applyNumberFormat="1" applyFont="1" applyBorder="1" applyAlignment="1">
      <alignment vertical="center" wrapText="1" readingOrder="1"/>
    </xf>
    <xf numFmtId="166" fontId="10" fillId="0" borderId="5" xfId="2" applyNumberFormat="1" applyFont="1" applyBorder="1" applyAlignment="1">
      <alignment horizontal="right" vertical="center" wrapText="1" readingOrder="1"/>
    </xf>
    <xf numFmtId="166" fontId="10" fillId="5" borderId="5" xfId="2" applyNumberFormat="1" applyFont="1" applyFill="1" applyBorder="1" applyAlignment="1">
      <alignment horizontal="right" vertical="center" wrapText="1" readingOrder="1"/>
    </xf>
    <xf numFmtId="166" fontId="10" fillId="0" borderId="0" xfId="2" applyNumberFormat="1" applyFont="1" applyAlignment="1">
      <alignment horizontal="right" vertical="center" wrapText="1" readingOrder="1"/>
    </xf>
    <xf numFmtId="166" fontId="12" fillId="6" borderId="5" xfId="2" applyNumberFormat="1" applyFont="1" applyFill="1" applyBorder="1" applyAlignment="1">
      <alignment horizontal="right" vertical="center" wrapText="1" readingOrder="1"/>
    </xf>
    <xf numFmtId="166" fontId="10" fillId="7" borderId="5" xfId="2" applyNumberFormat="1" applyFont="1" applyFill="1" applyBorder="1" applyAlignment="1">
      <alignment horizontal="right" vertical="center" wrapText="1" readingOrder="1"/>
    </xf>
    <xf numFmtId="167" fontId="10" fillId="0" borderId="5" xfId="2" applyNumberFormat="1" applyFont="1" applyBorder="1" applyAlignment="1">
      <alignment horizontal="right" vertical="center" wrapText="1" readingOrder="1"/>
    </xf>
    <xf numFmtId="167" fontId="10" fillId="8" borderId="5" xfId="2" applyNumberFormat="1" applyFont="1" applyFill="1" applyBorder="1" applyAlignment="1">
      <alignment horizontal="right" vertical="center" wrapText="1" readingOrder="1"/>
    </xf>
    <xf numFmtId="167" fontId="10" fillId="9" borderId="5" xfId="2" applyNumberFormat="1" applyFont="1" applyFill="1" applyBorder="1" applyAlignment="1">
      <alignment horizontal="right" vertical="center" wrapText="1" readingOrder="1"/>
    </xf>
    <xf numFmtId="0" fontId="13" fillId="0" borderId="5" xfId="2" applyFont="1" applyBorder="1" applyAlignment="1">
      <alignment horizontal="left" vertical="center" wrapText="1" readingOrder="1"/>
    </xf>
    <xf numFmtId="0" fontId="13" fillId="0" borderId="5" xfId="2" applyFont="1" applyBorder="1" applyAlignment="1">
      <alignment horizontal="left" vertical="center" readingOrder="1"/>
    </xf>
    <xf numFmtId="166" fontId="10" fillId="9" borderId="5" xfId="2" applyNumberFormat="1" applyFont="1" applyFill="1" applyBorder="1" applyAlignment="1">
      <alignment horizontal="right" vertical="center" wrapText="1" readingOrder="1"/>
    </xf>
    <xf numFmtId="166" fontId="14" fillId="0" borderId="5" xfId="2" applyNumberFormat="1" applyFont="1" applyBorder="1" applyAlignment="1">
      <alignment horizontal="right" vertical="center" wrapText="1" readingOrder="1"/>
    </xf>
    <xf numFmtId="43" fontId="10" fillId="9" borderId="5" xfId="1" applyFont="1" applyFill="1" applyBorder="1" applyAlignment="1">
      <alignment horizontal="right" vertical="center" wrapText="1" readingOrder="1"/>
    </xf>
    <xf numFmtId="0" fontId="15" fillId="0" borderId="0" xfId="2" applyFont="1"/>
    <xf numFmtId="166" fontId="6" fillId="0" borderId="0" xfId="2" applyNumberFormat="1" applyFont="1"/>
    <xf numFmtId="0" fontId="8" fillId="2" borderId="2" xfId="2" applyFont="1" applyFill="1" applyBorder="1" applyAlignment="1">
      <alignment horizontal="center" vertical="center"/>
    </xf>
    <xf numFmtId="0" fontId="7" fillId="0" borderId="3" xfId="2" applyFont="1" applyBorder="1" applyAlignment="1">
      <alignment vertical="center"/>
    </xf>
    <xf numFmtId="0" fontId="7" fillId="0" borderId="4" xfId="2" applyFont="1" applyBorder="1" applyAlignment="1">
      <alignment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E0912603-5779-46C2-A9C8-4020D981D3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3BF9-744E-4096-9D6A-6BB252C9D3E3}">
  <dimension ref="A1:BM7"/>
  <sheetViews>
    <sheetView tabSelected="1" topLeftCell="H1" zoomScale="115" zoomScaleNormal="115" workbookViewId="0">
      <selection activeCell="K8" sqref="K8"/>
    </sheetView>
  </sheetViews>
  <sheetFormatPr baseColWidth="10" defaultColWidth="9.109375" defaultRowHeight="14.4" x14ac:dyDescent="0.3"/>
  <cols>
    <col min="1" max="1" width="10.33203125" style="7" bestFit="1" customWidth="1"/>
    <col min="2" max="2" width="10.33203125" style="7" customWidth="1"/>
    <col min="3" max="3" width="31.109375" style="7" bestFit="1" customWidth="1"/>
    <col min="4" max="4" width="14.44140625" style="7" customWidth="1"/>
    <col min="5" max="5" width="14.6640625" style="7" customWidth="1"/>
    <col min="6" max="6" width="20.109375" style="7" customWidth="1"/>
    <col min="7" max="7" width="11.88671875" style="7" customWidth="1"/>
    <col min="8" max="8" width="32.109375" style="7" bestFit="1" customWidth="1"/>
    <col min="9" max="9" width="15" style="7" customWidth="1"/>
    <col min="10" max="11" width="16.109375" style="7" customWidth="1"/>
    <col min="12" max="12" width="15.33203125" style="7" customWidth="1"/>
    <col min="13" max="13" width="10" style="7" customWidth="1"/>
    <col min="14" max="14" width="12.109375" style="7" customWidth="1"/>
    <col min="15" max="17" width="10" style="7" customWidth="1"/>
    <col min="18" max="18" width="12.109375" style="7" customWidth="1"/>
    <col min="19" max="19" width="15.6640625" style="7" customWidth="1"/>
    <col min="20" max="20" width="14.33203125" style="7" customWidth="1"/>
    <col min="21" max="21" width="15.6640625" style="7" customWidth="1"/>
    <col min="22" max="31" width="12.6640625" style="7" customWidth="1"/>
    <col min="32" max="32" width="11.33203125" style="7" customWidth="1"/>
    <col min="33" max="39" width="12.5546875" style="7" customWidth="1"/>
    <col min="40" max="40" width="12.44140625" style="7" customWidth="1"/>
    <col min="41" max="41" width="9.109375" style="7"/>
    <col min="42" max="43" width="11.5546875" style="7" bestFit="1" customWidth="1"/>
    <col min="44" max="44" width="12.109375" style="7" bestFit="1" customWidth="1"/>
    <col min="45" max="45" width="8.5546875" style="7" customWidth="1"/>
    <col min="46" max="46" width="9.88671875" style="7" customWidth="1"/>
    <col min="47" max="47" width="9.5546875" style="7" bestFit="1" customWidth="1"/>
    <col min="48" max="48" width="10.44140625" style="7" bestFit="1" customWidth="1"/>
    <col min="49" max="49" width="8.88671875" style="7" bestFit="1" customWidth="1"/>
    <col min="50" max="51" width="8.88671875" style="7" customWidth="1"/>
    <col min="52" max="52" width="9" style="7" customWidth="1"/>
    <col min="53" max="53" width="12.5546875" style="7" customWidth="1"/>
    <col min="54" max="54" width="11.5546875" style="7" customWidth="1"/>
    <col min="55" max="55" width="8.44140625" style="7" customWidth="1"/>
    <col min="56" max="56" width="8.88671875" style="7" bestFit="1" customWidth="1"/>
    <col min="57" max="57" width="7.109375" style="7" customWidth="1"/>
    <col min="58" max="58" width="11.33203125" style="7" bestFit="1" customWidth="1"/>
    <col min="59" max="59" width="12.5546875" style="7" customWidth="1"/>
    <col min="60" max="60" width="10.44140625" style="7" customWidth="1"/>
    <col min="61" max="61" width="9.44140625" style="7" customWidth="1"/>
    <col min="62" max="62" width="8.33203125" style="7" customWidth="1"/>
    <col min="63" max="63" width="12.33203125" style="7" bestFit="1" customWidth="1"/>
    <col min="64" max="64" width="12.5546875" style="7" hidden="1" customWidth="1"/>
    <col min="65" max="65" width="10.88671875" style="7" hidden="1" customWidth="1"/>
    <col min="66" max="66" width="14.5546875" style="7" customWidth="1"/>
    <col min="67" max="16384" width="9.109375" style="7"/>
  </cols>
  <sheetData>
    <row r="1" spans="1:65" ht="17.399999999999999" x14ac:dyDescent="0.3">
      <c r="A1" s="1"/>
      <c r="B1" s="1"/>
      <c r="C1" s="2" t="s">
        <v>0</v>
      </c>
      <c r="D1" s="2"/>
      <c r="E1" s="2"/>
      <c r="F1" s="2"/>
      <c r="G1" s="2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4"/>
      <c r="AG1" s="5"/>
      <c r="AH1" s="5"/>
      <c r="AI1" s="5"/>
      <c r="AJ1" s="5"/>
      <c r="AK1" s="5"/>
      <c r="AL1" s="5"/>
      <c r="AM1" s="5"/>
      <c r="AN1" s="6"/>
      <c r="AP1" s="5"/>
      <c r="AQ1" s="5"/>
      <c r="AR1" s="5"/>
      <c r="AS1" s="6"/>
      <c r="AT1" s="5"/>
      <c r="AU1" s="5"/>
      <c r="AV1" s="5"/>
      <c r="AW1" s="5"/>
      <c r="AX1" s="5"/>
      <c r="AY1" s="5"/>
      <c r="AZ1" s="6"/>
      <c r="BA1" s="5"/>
      <c r="BB1" s="5"/>
      <c r="BC1" s="5"/>
      <c r="BD1" s="5"/>
      <c r="BE1" s="5"/>
      <c r="BF1" s="5"/>
      <c r="BG1" s="5"/>
      <c r="BH1" s="5"/>
      <c r="BI1" s="8"/>
      <c r="BJ1" s="5"/>
      <c r="BK1" s="6"/>
    </row>
    <row r="2" spans="1:65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9"/>
      <c r="AG2" s="10"/>
      <c r="AH2" s="37" t="s">
        <v>1</v>
      </c>
      <c r="AI2" s="38"/>
      <c r="AJ2" s="38"/>
      <c r="AK2" s="38"/>
      <c r="AL2" s="38"/>
      <c r="AM2" s="38"/>
      <c r="AN2" s="39"/>
      <c r="AP2" s="37" t="s">
        <v>2</v>
      </c>
      <c r="AQ2" s="40"/>
      <c r="AR2" s="41"/>
      <c r="AS2" s="11"/>
      <c r="AT2" s="10"/>
      <c r="AU2" s="37" t="s">
        <v>3</v>
      </c>
      <c r="AV2" s="40"/>
      <c r="AW2" s="40"/>
      <c r="AX2" s="40"/>
      <c r="AY2" s="40"/>
      <c r="AZ2" s="41"/>
      <c r="BA2" s="10"/>
      <c r="BB2" s="37" t="s">
        <v>4</v>
      </c>
      <c r="BC2" s="38"/>
      <c r="BD2" s="38"/>
      <c r="BE2" s="38"/>
      <c r="BF2" s="38"/>
      <c r="BG2" s="38"/>
      <c r="BH2" s="38"/>
      <c r="BI2" s="38"/>
      <c r="BJ2" s="38"/>
      <c r="BK2" s="38"/>
      <c r="BL2" s="12" t="e">
        <f>1/BG4</f>
        <v>#DIV/0!</v>
      </c>
    </row>
    <row r="3" spans="1:65" ht="48.75" customHeight="1" x14ac:dyDescent="0.3">
      <c r="A3" s="13" t="s">
        <v>5</v>
      </c>
      <c r="B3" s="13" t="s">
        <v>6</v>
      </c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4" t="s">
        <v>12</v>
      </c>
      <c r="I3" s="14" t="s">
        <v>13</v>
      </c>
      <c r="J3" s="14" t="s">
        <v>14</v>
      </c>
      <c r="K3" s="13" t="s">
        <v>15</v>
      </c>
      <c r="L3" s="13" t="s">
        <v>16</v>
      </c>
      <c r="M3" s="13" t="s">
        <v>17</v>
      </c>
      <c r="N3" s="13" t="s">
        <v>18</v>
      </c>
      <c r="O3" s="13" t="s">
        <v>19</v>
      </c>
      <c r="P3" s="13" t="s">
        <v>20</v>
      </c>
      <c r="Q3" s="13" t="s">
        <v>21</v>
      </c>
      <c r="R3" s="15" t="s">
        <v>22</v>
      </c>
      <c r="S3" s="15" t="s">
        <v>23</v>
      </c>
      <c r="T3" s="16" t="s">
        <v>24</v>
      </c>
      <c r="U3" s="16" t="s">
        <v>25</v>
      </c>
      <c r="V3" s="13" t="s">
        <v>26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16" t="s">
        <v>32</v>
      </c>
      <c r="AC3" s="16" t="s">
        <v>33</v>
      </c>
      <c r="AD3" s="16" t="s">
        <v>34</v>
      </c>
      <c r="AE3" s="16" t="s">
        <v>35</v>
      </c>
      <c r="AF3" s="13" t="s">
        <v>36</v>
      </c>
      <c r="AG3" s="17"/>
      <c r="AH3" s="16" t="s">
        <v>37</v>
      </c>
      <c r="AI3" s="16" t="s">
        <v>38</v>
      </c>
      <c r="AJ3" s="16" t="s">
        <v>39</v>
      </c>
      <c r="AK3" s="16" t="s">
        <v>40</v>
      </c>
      <c r="AL3" s="16" t="s">
        <v>41</v>
      </c>
      <c r="AM3" s="16" t="s">
        <v>42</v>
      </c>
      <c r="AN3" s="16" t="s">
        <v>43</v>
      </c>
      <c r="AP3" s="16" t="s">
        <v>44</v>
      </c>
      <c r="AQ3" s="16" t="s">
        <v>45</v>
      </c>
      <c r="AR3" s="16" t="s">
        <v>46</v>
      </c>
      <c r="AS3" s="16" t="s">
        <v>43</v>
      </c>
      <c r="AT3" s="16" t="s">
        <v>47</v>
      </c>
      <c r="AU3" s="16" t="s">
        <v>48</v>
      </c>
      <c r="AV3" s="16" t="s">
        <v>49</v>
      </c>
      <c r="AW3" s="16" t="s">
        <v>50</v>
      </c>
      <c r="AX3" s="16" t="s">
        <v>51</v>
      </c>
      <c r="AY3" s="16" t="s">
        <v>52</v>
      </c>
      <c r="AZ3" s="16" t="s">
        <v>43</v>
      </c>
      <c r="BA3" s="17"/>
      <c r="BB3" s="16" t="s">
        <v>53</v>
      </c>
      <c r="BC3" s="16" t="s">
        <v>54</v>
      </c>
      <c r="BD3" s="16" t="s">
        <v>55</v>
      </c>
      <c r="BE3" s="16" t="s">
        <v>56</v>
      </c>
      <c r="BF3" s="16" t="s">
        <v>57</v>
      </c>
      <c r="BG3" s="16" t="s">
        <v>58</v>
      </c>
      <c r="BH3" s="16" t="s">
        <v>59</v>
      </c>
      <c r="BI3" s="16" t="s">
        <v>60</v>
      </c>
      <c r="BJ3" s="16" t="s">
        <v>61</v>
      </c>
      <c r="BK3" s="16" t="s">
        <v>62</v>
      </c>
      <c r="BL3" s="16" t="s">
        <v>63</v>
      </c>
      <c r="BM3" s="16" t="s">
        <v>64</v>
      </c>
    </row>
    <row r="4" spans="1:65" x14ac:dyDescent="0.3">
      <c r="A4" s="18"/>
      <c r="B4" s="18"/>
      <c r="C4" s="18"/>
      <c r="D4" s="19"/>
      <c r="E4" s="19"/>
      <c r="F4" s="18"/>
      <c r="G4" s="18"/>
      <c r="H4" s="20"/>
      <c r="I4" s="20"/>
      <c r="J4" s="21"/>
      <c r="K4" s="20"/>
      <c r="L4" s="20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>
        <f t="shared" ref="AF4" si="0">+SUM($M4:$AE4)</f>
        <v>0</v>
      </c>
      <c r="AG4" s="24"/>
      <c r="AH4" s="22"/>
      <c r="AI4" s="22"/>
      <c r="AJ4" s="22"/>
      <c r="AK4" s="22"/>
      <c r="AL4" s="22"/>
      <c r="AM4" s="22"/>
      <c r="AN4" s="23">
        <f t="shared" ref="AN4" si="1">SUM($AH4:$AM4)</f>
        <v>0</v>
      </c>
      <c r="AP4" s="22"/>
      <c r="AQ4" s="22"/>
      <c r="AR4" s="22"/>
      <c r="AS4" s="23">
        <f t="shared" ref="AS4" si="2">SUM($AP4:$AR4)</f>
        <v>0</v>
      </c>
      <c r="AT4" s="25">
        <f t="shared" ref="AT4" si="3">SUM(AN4,AS4)</f>
        <v>0</v>
      </c>
      <c r="AU4" s="22"/>
      <c r="AV4" s="22"/>
      <c r="AW4" s="22"/>
      <c r="AX4" s="22"/>
      <c r="AY4" s="22"/>
      <c r="AZ4" s="26">
        <f t="shared" ref="AZ4" si="4">SUM($AU4:$AY4)</f>
        <v>0</v>
      </c>
      <c r="BA4" s="24"/>
      <c r="BB4" s="22">
        <f t="shared" ref="BB4" si="5">SUM($AF4,$AN4,$AS4,$AZ4)+BD4</f>
        <v>0</v>
      </c>
      <c r="BC4" s="22">
        <f t="shared" ref="BC4" si="6">120*$BG4</f>
        <v>0</v>
      </c>
      <c r="BD4" s="22">
        <f t="shared" ref="BD4" si="7">SUM($AF4,$AN4,$AS4,$AZ4)*0.4%</f>
        <v>0</v>
      </c>
      <c r="BE4" s="22">
        <f t="shared" ref="BE4" si="8">$BC4*19%</f>
        <v>0</v>
      </c>
      <c r="BF4" s="22">
        <f>SUM(BB4,BC4,BE4)</f>
        <v>0</v>
      </c>
      <c r="BG4" s="27"/>
      <c r="BH4" s="28" t="e">
        <f t="shared" ref="BH4" si="9">ROUND($BB4/$BG4,2)</f>
        <v>#DIV/0!</v>
      </c>
      <c r="BI4" s="28" t="e">
        <f t="shared" ref="BI4" si="10">ROUND($BC4/$BG4,2)</f>
        <v>#DIV/0!</v>
      </c>
      <c r="BJ4" s="28" t="e">
        <f t="shared" ref="BJ4" si="11">ROUND($BE4/$BG4,2)</f>
        <v>#DIV/0!</v>
      </c>
      <c r="BK4" s="28" t="e">
        <f t="shared" ref="BK4" si="12">SUM($BH4:$BJ4)</f>
        <v>#DIV/0!</v>
      </c>
      <c r="BL4" s="29"/>
      <c r="BM4" s="28" t="e">
        <f t="shared" ref="BM4" si="13">BK4-BL4</f>
        <v>#DIV/0!</v>
      </c>
    </row>
    <row r="5" spans="1:65" x14ac:dyDescent="0.3">
      <c r="A5" s="30"/>
      <c r="B5" s="30"/>
      <c r="C5" s="30" t="s">
        <v>65</v>
      </c>
      <c r="D5" s="30"/>
      <c r="E5" s="30"/>
      <c r="F5" s="30"/>
      <c r="G5" s="30"/>
      <c r="H5" s="31" t="s">
        <v>65</v>
      </c>
      <c r="I5" s="31"/>
      <c r="J5" s="31"/>
      <c r="K5" s="31"/>
      <c r="L5" s="31"/>
      <c r="M5" s="32">
        <f t="shared" ref="M5:AF5" si="14">SUM(M4:M4)</f>
        <v>0</v>
      </c>
      <c r="N5" s="32">
        <f t="shared" si="14"/>
        <v>0</v>
      </c>
      <c r="O5" s="32">
        <f t="shared" si="14"/>
        <v>0</v>
      </c>
      <c r="P5" s="32">
        <f t="shared" si="14"/>
        <v>0</v>
      </c>
      <c r="Q5" s="32">
        <f t="shared" si="14"/>
        <v>0</v>
      </c>
      <c r="R5" s="32">
        <f t="shared" si="14"/>
        <v>0</v>
      </c>
      <c r="S5" s="32">
        <f t="shared" si="14"/>
        <v>0</v>
      </c>
      <c r="T5" s="32">
        <f t="shared" si="14"/>
        <v>0</v>
      </c>
      <c r="U5" s="32">
        <f t="shared" si="14"/>
        <v>0</v>
      </c>
      <c r="V5" s="32">
        <f t="shared" si="14"/>
        <v>0</v>
      </c>
      <c r="W5" s="32">
        <f t="shared" si="14"/>
        <v>0</v>
      </c>
      <c r="X5" s="32">
        <f t="shared" si="14"/>
        <v>0</v>
      </c>
      <c r="Y5" s="32">
        <f t="shared" si="14"/>
        <v>0</v>
      </c>
      <c r="Z5" s="32">
        <f t="shared" si="14"/>
        <v>0</v>
      </c>
      <c r="AA5" s="32">
        <f t="shared" si="14"/>
        <v>0</v>
      </c>
      <c r="AB5" s="32">
        <f t="shared" si="14"/>
        <v>0</v>
      </c>
      <c r="AC5" s="32">
        <f t="shared" si="14"/>
        <v>0</v>
      </c>
      <c r="AD5" s="32">
        <f t="shared" si="14"/>
        <v>0</v>
      </c>
      <c r="AE5" s="32">
        <f t="shared" si="14"/>
        <v>0</v>
      </c>
      <c r="AF5" s="32">
        <f t="shared" si="14"/>
        <v>0</v>
      </c>
      <c r="AG5" s="24"/>
      <c r="AH5" s="32">
        <f t="shared" ref="AH5:AN5" si="15">SUM(AH4:AH4)</f>
        <v>0</v>
      </c>
      <c r="AI5" s="32">
        <f t="shared" si="15"/>
        <v>0</v>
      </c>
      <c r="AJ5" s="32">
        <f t="shared" si="15"/>
        <v>0</v>
      </c>
      <c r="AK5" s="32">
        <f t="shared" si="15"/>
        <v>0</v>
      </c>
      <c r="AL5" s="32">
        <f t="shared" si="15"/>
        <v>0</v>
      </c>
      <c r="AM5" s="32">
        <f t="shared" si="15"/>
        <v>0</v>
      </c>
      <c r="AN5" s="32">
        <f t="shared" si="15"/>
        <v>0</v>
      </c>
      <c r="AP5" s="32">
        <f>SUM(AP4:AP4)</f>
        <v>0</v>
      </c>
      <c r="AQ5" s="32">
        <f>SUM(AQ4:AQ4)</f>
        <v>0</v>
      </c>
      <c r="AR5" s="32">
        <f>SUM(AR4:AR4)</f>
        <v>0</v>
      </c>
      <c r="AS5" s="32">
        <f>SUM(AS4:AS4)</f>
        <v>0</v>
      </c>
      <c r="AT5" s="33"/>
      <c r="AU5" s="32">
        <f t="shared" ref="AU5:AZ5" si="16">SUM(AU4:AU4)</f>
        <v>0</v>
      </c>
      <c r="AV5" s="32">
        <f t="shared" si="16"/>
        <v>0</v>
      </c>
      <c r="AW5" s="32">
        <f t="shared" si="16"/>
        <v>0</v>
      </c>
      <c r="AX5" s="32">
        <f t="shared" si="16"/>
        <v>0</v>
      </c>
      <c r="AY5" s="32">
        <f t="shared" si="16"/>
        <v>0</v>
      </c>
      <c r="AZ5" s="32">
        <f t="shared" si="16"/>
        <v>0</v>
      </c>
      <c r="BA5" s="24"/>
      <c r="BB5" s="32">
        <f>SUM(BB4:BB4)</f>
        <v>0</v>
      </c>
      <c r="BC5" s="32">
        <f>SUM(BC4:BC4)</f>
        <v>0</v>
      </c>
      <c r="BD5" s="32">
        <f>SUM(BD4:BD4)</f>
        <v>0</v>
      </c>
      <c r="BE5" s="32">
        <f>SUM(BE4:BE4)</f>
        <v>0</v>
      </c>
      <c r="BF5" s="32">
        <f>SUM(BF4:BF4)</f>
        <v>0</v>
      </c>
      <c r="BG5" s="32"/>
      <c r="BH5" s="34" t="e">
        <f>SUM(BH4:BH4)</f>
        <v>#DIV/0!</v>
      </c>
      <c r="BI5" s="34" t="e">
        <f>SUM(BI4:BI4)</f>
        <v>#DIV/0!</v>
      </c>
      <c r="BJ5" s="34" t="e">
        <f>SUM(BJ4:BJ4)</f>
        <v>#DIV/0!</v>
      </c>
      <c r="BK5" s="34" t="e">
        <f>SUM(BK4:BK4)</f>
        <v>#DIV/0!</v>
      </c>
      <c r="BL5" s="29"/>
      <c r="BM5" s="28" t="e">
        <f>BK5-BL5</f>
        <v>#DIV/0!</v>
      </c>
    </row>
    <row r="7" spans="1:65" x14ac:dyDescent="0.3">
      <c r="A7" s="35" t="s">
        <v>66</v>
      </c>
      <c r="R7" s="36"/>
    </row>
  </sheetData>
  <mergeCells count="4">
    <mergeCell ref="AH2:AN2"/>
    <mergeCell ref="AP2:AR2"/>
    <mergeCell ref="AU2:AZ2"/>
    <mergeCell ref="BB2:B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INVOICING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2026-03-04T15:02:48Z</dcterms:created>
  <dcterms:modified xsi:type="dcterms:W3CDTF">2026-03-10T17:10:51Z</dcterms:modified>
</cp:coreProperties>
</file>