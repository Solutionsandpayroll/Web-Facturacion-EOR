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rarambulo_solutionsandpayroll_com/Documents/EMPLOYMENT OUTSOURCING/NOVEDADES GENERALES EoR/PERU/Facturas beneficios extralegales y EMO/2025/"/>
    </mc:Choice>
  </mc:AlternateContent>
  <xr:revisionPtr revIDLastSave="525" documentId="13_ncr:1_{9756EE92-3638-444E-B74A-64A50D2E7A15}" xr6:coauthVersionLast="47" xr6:coauthVersionMax="47" xr10:uidLastSave="{D4D4BAA2-5657-4938-B69C-AEF8CD085A17}"/>
  <bookViews>
    <workbookView xWindow="-108" yWindow="-108" windowWidth="23256" windowHeight="13896" firstSheet="1" activeTab="1" xr2:uid="{00000000-000D-0000-FFFF-FFFF00000000}"/>
  </bookViews>
  <sheets>
    <sheet name="DINAMICA" sheetId="3" state="hidden" r:id="rId1"/>
    <sheet name="DETALLE" sheetId="1" r:id="rId2"/>
  </sheets>
  <definedNames>
    <definedName name="_xlnm._FilterDatabase" localSheetId="1" hidden="1">DETALLE!$A$1:$X$7</definedName>
  </definedNames>
  <calcPr calcId="191028"/>
  <pivotCaches>
    <pivotCache cacheId="13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6" i="1"/>
  <c r="T5" i="1"/>
  <c r="T4" i="1"/>
  <c r="T3" i="1"/>
  <c r="T2" i="1"/>
  <c r="N7" i="1"/>
  <c r="M7" i="1"/>
  <c r="N9" i="1"/>
  <c r="Q9" i="1"/>
  <c r="S7" i="1"/>
  <c r="S3" i="1"/>
  <c r="S4" i="1"/>
  <c r="S5" i="1"/>
  <c r="S6" i="1"/>
  <c r="S2" i="1"/>
  <c r="R7" i="1"/>
  <c r="Q14" i="1"/>
  <c r="Q7" i="1"/>
  <c r="P7" i="1"/>
  <c r="O7" i="1"/>
  <c r="N5" i="1"/>
  <c r="M5" i="1"/>
  <c r="L5" i="1"/>
  <c r="N4" i="1"/>
  <c r="M4" i="1"/>
  <c r="L4" i="1"/>
  <c r="N3" i="1"/>
  <c r="L3" i="1"/>
  <c r="M3" i="1"/>
  <c r="N2" i="1"/>
  <c r="M2" i="1"/>
  <c r="L2" i="1"/>
  <c r="L7" i="1"/>
  <c r="U7" i="1"/>
  <c r="T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Rimac Seguros</author>
    <author>Usuario de Windows</author>
    <author>Tecnologia</author>
    <author>Sandra Bello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Formato:</t>
        </r>
        <r>
          <rPr>
            <sz val="8"/>
            <color indexed="81"/>
            <rFont val="Tahoma"/>
            <family val="2"/>
          </rPr>
          <t xml:space="preserve">
VL = Vida Ley
2C = Vida Ley 2da Capa
VG = Vida Grupo</t>
        </r>
      </text>
    </comment>
    <comment ref="C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Formato: Texto</t>
        </r>
      </text>
    </comment>
    <comment ref="D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Texto. No debe contener espacios ni al inicio ni al final. No se permiten caracteres especiales</t>
        </r>
      </text>
    </comment>
    <comment ref="E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Formato Texto. No debe contener espacios ni al inicio ni al final. No se permiten caracteres especiales</t>
        </r>
      </text>
    </comment>
    <comment ref="F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Formato Texto. No debe contener espacios ni al inicio ni al final. No se permiten caracteres especiales</t>
        </r>
      </text>
    </comment>
    <comment ref="G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Formato Texto. No debe contener espacios ni al inicio ni al final. No se permiten caracteres especiales</t>
        </r>
      </text>
    </comment>
    <comment ref="H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Formato Fecha:
</t>
        </r>
        <r>
          <rPr>
            <sz val="8"/>
            <color indexed="81"/>
            <rFont val="Tahoma"/>
            <family val="2"/>
          </rPr>
          <t>dd/mm/yyyy ejm, 01/07/1978 o
ddmmyyyy ejm, 01071978
Sin espacios ni al inicio ni al final</t>
        </r>
      </text>
    </comment>
    <comment ref="I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Formato:</t>
        </r>
        <r>
          <rPr>
            <sz val="8"/>
            <color indexed="81"/>
            <rFont val="Tahoma"/>
            <family val="2"/>
          </rPr>
          <t xml:space="preserve">
M = Masculino
F = Femenino</t>
        </r>
      </text>
    </comment>
    <comment ref="J1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Formato Numerico:</t>
        </r>
        <r>
          <rPr>
            <sz val="8"/>
            <color indexed="81"/>
            <rFont val="Tahoma"/>
            <family val="2"/>
          </rPr>
          <t xml:space="preserve">
Sólo numeros</t>
        </r>
      </text>
    </comment>
    <comment ref="K1" authorId="2" shapeId="0" xr:uid="{00000000-0006-0000-0000-00000C000000}">
      <text>
        <r>
          <rPr>
            <b/>
            <sz val="8"/>
            <color indexed="81"/>
            <rFont val="Tahoma"/>
            <family val="2"/>
          </rPr>
          <t>Formato texto:</t>
        </r>
        <r>
          <rPr>
            <sz val="8"/>
            <color indexed="81"/>
            <rFont val="Tahoma"/>
            <family val="2"/>
          </rPr>
          <t xml:space="preserve">
ddmmyyyy Ejm: 01071978
En caso de exclusión ingresar la fecha de cese</t>
        </r>
      </text>
    </comment>
    <comment ref="R7" authorId="3" shapeId="0" xr:uid="{515C8325-7AC6-496E-99B1-FAEE38D84271}">
      <text>
        <r>
          <rPr>
            <sz val="11"/>
            <color theme="1"/>
            <rFont val="Calibri"/>
            <family val="2"/>
            <scheme val="minor"/>
          </rPr>
          <t>Sandra Bello:
Factura Abril</t>
        </r>
      </text>
    </comment>
    <comment ref="S7" authorId="3" shapeId="0" xr:uid="{C4E823E0-82BC-4734-9634-DF827C5FC21B}">
      <text>
        <r>
          <rPr>
            <sz val="11"/>
            <color theme="1"/>
            <rFont val="Calibri"/>
            <family val="2"/>
            <scheme val="minor"/>
          </rPr>
          <t>Sandra Bello:
Factura Mayo</t>
        </r>
      </text>
    </comment>
    <comment ref="T7" authorId="3" shapeId="0" xr:uid="{03D047AA-743B-4510-A310-A0042FD7EE09}">
      <text>
        <r>
          <rPr>
            <sz val="11"/>
            <color theme="1"/>
            <rFont val="Calibri"/>
            <family val="2"/>
            <scheme val="minor"/>
          </rPr>
          <t xml:space="preserve">Sandra Bello:
Factura Junio
</t>
        </r>
      </text>
    </comment>
  </commentList>
</comments>
</file>

<file path=xl/sharedStrings.xml><?xml version="1.0" encoding="utf-8"?>
<sst xmlns="http://schemas.openxmlformats.org/spreadsheetml/2006/main" count="91" uniqueCount="76">
  <si>
    <t>CLIENTE</t>
  </si>
  <si>
    <t>(Todas)</t>
  </si>
  <si>
    <t>Etiquetas de fila</t>
  </si>
  <si>
    <t>Suma de FEBRERO</t>
  </si>
  <si>
    <t>Suma de MARZO</t>
  </si>
  <si>
    <t>Suma de ABRIL</t>
  </si>
  <si>
    <t>Suma de MAYO</t>
  </si>
  <si>
    <t>Suma de JUNIO</t>
  </si>
  <si>
    <t>EXAMEN MEDICO DE INGRESO</t>
  </si>
  <si>
    <t>SALUD RIMAC</t>
  </si>
  <si>
    <t>SC VIDA LEY</t>
  </si>
  <si>
    <t>SCTR PENSIÓN</t>
  </si>
  <si>
    <t>SCTR SALUD</t>
  </si>
  <si>
    <t>Total general</t>
  </si>
  <si>
    <t>CONCEPTO</t>
  </si>
  <si>
    <t>NRO_DOCUMENTO</t>
  </si>
  <si>
    <t>APELLIDO_PATERNO</t>
  </si>
  <si>
    <t>APELLIDO_MATERNO</t>
  </si>
  <si>
    <t>PRIMER_NOMBRE</t>
  </si>
  <si>
    <t>SEGUNDO_NOMBRE</t>
  </si>
  <si>
    <t>FECHA_NACIMIENT</t>
  </si>
  <si>
    <t>SEXO</t>
  </si>
  <si>
    <t>SALARIO</t>
  </si>
  <si>
    <t>FECHA_INGRESO_EMPRESA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</si>
  <si>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</si>
  <si>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</si>
  <si>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</si>
  <si>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</si>
  <si>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</si>
  <si>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</si>
  <si>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</si>
  <si>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</si>
  <si>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</si>
  <si>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</si>
  <si>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</si>
  <si>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</si>
  <si>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OBSERVACIONES</t>
  </si>
  <si>
    <t>SALUD SAFETY WINGS</t>
  </si>
  <si>
    <t>EUROPORTAGE</t>
  </si>
  <si>
    <t>1 1148 0879</t>
  </si>
  <si>
    <t>ARCE</t>
  </si>
  <si>
    <t>HERNANDEZ</t>
  </si>
  <si>
    <t>NATALIA</t>
  </si>
  <si>
    <t>07/09/1982</t>
  </si>
  <si>
    <t>F</t>
  </si>
  <si>
    <t>01/01/2026</t>
  </si>
  <si>
    <t>2 0735 0669</t>
  </si>
  <si>
    <t>BENAVIDES</t>
  </si>
  <si>
    <t>FALLAS</t>
  </si>
  <si>
    <t>RODRIGO</t>
  </si>
  <si>
    <t>ALBERTO</t>
  </si>
  <si>
    <t>14/02/1995</t>
  </si>
  <si>
    <t>M</t>
  </si>
  <si>
    <t>1 1691 0856</t>
  </si>
  <si>
    <t>CAMPOS</t>
  </si>
  <si>
    <t>JIMENEZ</t>
  </si>
  <si>
    <t>JOSE</t>
  </si>
  <si>
    <t>DAVID</t>
  </si>
  <si>
    <t>02/11/1997</t>
  </si>
  <si>
    <t>2 0683 0623</t>
  </si>
  <si>
    <t>CARVAJAL</t>
  </si>
  <si>
    <t>RODRIGUEZ</t>
  </si>
  <si>
    <t>MAUREN</t>
  </si>
  <si>
    <t>DEL CARMEN</t>
  </si>
  <si>
    <t>28/02/1991</t>
  </si>
  <si>
    <t>1 1413 0492</t>
  </si>
  <si>
    <t xml:space="preserve">NARANJO </t>
  </si>
  <si>
    <t>MASIS</t>
  </si>
  <si>
    <t xml:space="preserve">MARIANO </t>
  </si>
  <si>
    <t>JOSUE</t>
  </si>
  <si>
    <t>16/02/2026</t>
  </si>
  <si>
    <t>TOTAL</t>
  </si>
  <si>
    <t>Pago poliza Dic 2025</t>
  </si>
  <si>
    <t>Pago poliza 31/03/2026
Vigencia Abril-Junio</t>
  </si>
  <si>
    <t>Pago poliza 
Vigencia 
Julio-Septiembre</t>
  </si>
  <si>
    <t>Saldo a favor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</si>
</sst>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 * #,##0.00_ ;_ * \-#,##0.00_ ;_ * &quot;-&quot;??_ ;_ @_ "/>
    <numFmt numFmtId="165" formatCode="00000000"/>
    <numFmt numFmtId="166" formatCode="0.00;[Red]0.00"/>
    <numFmt numFmtId="167" formatCode="_(* #,##0.00_);_(* \(#,##0.00\);_(* &quot;-&quot;??_);_(@_)"/>
    <numFmt numFmtId="168" formatCode="_-[$S/-280A]\ * #,##0.00_-;\-[$S/-280A]\ * #,##0.00_-;_-[$S/-280A]\ * &quot;-&quot;??_-;_-@_-"/>
    <numFmt numFmtId="169" formatCode="_-[$$-540A]* #,##0.00_ ;_-[$$-540A]* \-#,##0.00\ ;_-[$$-540A]* &quot;-&quot;??_ ;_-@_ "/>
    <numFmt numFmtId="170" formatCode="_-[$₡-140A]* #,##0_-;\-[$₡-140A]* #,##0_-;_-[$₡-140A]* &quot;-&quot;_-;_-@_-"/>
  </numFmts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4" fillId="0" borderId="0"/>
    <xf numFmtId="0" fontId="3" fillId="0" borderId="0" applyFill="0" applyBorder="0"/>
    <xf numFmtId="0" fontId="11" fillId="0" borderId="1" applyFont="0" applyFill="0" applyAlignment="0"/>
    <xf numFmtId="0" fontId="6" fillId="0" borderId="0"/>
    <xf numFmtId="164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Fill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3" fillId="0" borderId="0" applyFill="0" applyBorder="0"/>
    <xf numFmtId="0" fontId="11" fillId="0" borderId="0"/>
    <xf numFmtId="44" fontId="11" fillId="0" borderId="0" applyFont="0" applyFill="0" applyBorder="0" applyAlignment="0" applyProtection="0"/>
  </cellStyleXfs>
  <cellXfs count="48">
    <xf numFmtId="0" fontId="0" fillId="0" borderId="0" xfId="0"/>
    <xf numFmtId="0" fontId="12" fillId="0" borderId="0" xfId="0" applyFont="1"/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65" fontId="12" fillId="0" borderId="0" xfId="0" applyNumberFormat="1" applyFont="1" applyAlignment="1">
      <alignment horizontal="left"/>
    </xf>
    <xf numFmtId="165" fontId="12" fillId="0" borderId="0" xfId="0" applyNumberFormat="1" applyFont="1"/>
    <xf numFmtId="166" fontId="12" fillId="0" borderId="0" xfId="0" applyNumberFormat="1" applyFont="1"/>
    <xf numFmtId="14" fontId="13" fillId="0" borderId="0" xfId="0" applyNumberFormat="1" applyFont="1" applyAlignment="1">
      <alignment horizontal="center"/>
    </xf>
    <xf numFmtId="0" fontId="15" fillId="0" borderId="0" xfId="0" applyFont="1"/>
    <xf numFmtId="0" fontId="15" fillId="2" borderId="0" xfId="0" applyFont="1" applyFill="1" applyAlignment="1">
      <alignment horizontal="center"/>
    </xf>
    <xf numFmtId="0" fontId="12" fillId="3" borderId="2" xfId="0" applyFont="1" applyFill="1" applyBorder="1"/>
    <xf numFmtId="49" fontId="0" fillId="3" borderId="2" xfId="0" applyNumberFormat="1" applyFill="1" applyBorder="1" applyAlignment="1">
      <alignment wrapText="1"/>
    </xf>
    <xf numFmtId="49" fontId="0" fillId="3" borderId="2" xfId="0" applyNumberFormat="1" applyFill="1" applyBorder="1"/>
    <xf numFmtId="0" fontId="15" fillId="4" borderId="0" xfId="0" applyFont="1" applyFill="1"/>
    <xf numFmtId="0" fontId="12" fillId="3" borderId="2" xfId="0" applyFont="1" applyFill="1" applyBorder="1" applyAlignment="1">
      <alignment wrapText="1"/>
    </xf>
    <xf numFmtId="49" fontId="14" fillId="5" borderId="2" xfId="0" quotePrefix="1" applyNumberFormat="1" applyFont="1" applyFill="1" applyBorder="1" applyAlignment="1">
      <alignment horizontal="right"/>
    </xf>
    <xf numFmtId="168" fontId="1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0" fillId="6" borderId="0" xfId="0" applyFill="1"/>
    <xf numFmtId="0" fontId="12" fillId="3" borderId="2" xfId="0" applyFont="1" applyFill="1" applyBorder="1" applyAlignment="1">
      <alignment horizontal="left" wrapText="1"/>
    </xf>
    <xf numFmtId="169" fontId="14" fillId="0" borderId="2" xfId="0" quotePrefix="1" applyNumberFormat="1" applyFont="1" applyBorder="1" applyAlignment="1">
      <alignment horizontal="right"/>
    </xf>
    <xf numFmtId="169" fontId="12" fillId="3" borderId="2" xfId="0" applyNumberFormat="1" applyFont="1" applyFill="1" applyBorder="1"/>
    <xf numFmtId="169" fontId="12" fillId="0" borderId="2" xfId="0" applyNumberFormat="1" applyFont="1" applyBorder="1"/>
    <xf numFmtId="169" fontId="15" fillId="4" borderId="0" xfId="0" applyNumberFormat="1" applyFont="1" applyFill="1" applyAlignment="1">
      <alignment horizontal="center"/>
    </xf>
    <xf numFmtId="169" fontId="15" fillId="4" borderId="0" xfId="0" applyNumberFormat="1" applyFont="1" applyFill="1"/>
    <xf numFmtId="169" fontId="15" fillId="7" borderId="0" xfId="0" applyNumberFormat="1" applyFont="1" applyFill="1"/>
    <xf numFmtId="170" fontId="16" fillId="0" borderId="3" xfId="19" applyNumberFormat="1" applyFont="1" applyBorder="1" applyAlignment="1">
      <alignment horizontal="right"/>
    </xf>
    <xf numFmtId="49" fontId="0" fillId="3" borderId="4" xfId="0" applyNumberFormat="1" applyFill="1" applyBorder="1" applyAlignment="1">
      <alignment wrapText="1"/>
    </xf>
    <xf numFmtId="169" fontId="12" fillId="0" borderId="0" xfId="0" applyNumberFormat="1" applyFont="1"/>
    <xf numFmtId="169" fontId="12" fillId="3" borderId="0" xfId="0" applyNumberFormat="1" applyFont="1" applyFill="1"/>
    <xf numFmtId="0" fontId="12" fillId="3" borderId="0" xfId="0" applyFont="1" applyFill="1" applyAlignment="1">
      <alignment horizontal="left" wrapText="1"/>
    </xf>
    <xf numFmtId="169" fontId="12" fillId="8" borderId="2" xfId="0" applyNumberFormat="1" applyFont="1" applyFill="1" applyBorder="1"/>
    <xf numFmtId="169" fontId="12" fillId="8" borderId="5" xfId="0" applyNumberFormat="1" applyFont="1" applyFill="1" applyBorder="1"/>
    <xf numFmtId="49" fontId="14" fillId="5" borderId="6" xfId="0" quotePrefix="1" applyNumberFormat="1" applyFont="1" applyFill="1" applyBorder="1" applyAlignment="1">
      <alignment horizontal="right"/>
    </xf>
    <xf numFmtId="169" fontId="14" fillId="0" borderId="5" xfId="0" quotePrefix="1" applyNumberFormat="1" applyFont="1" applyBorder="1" applyAlignment="1">
      <alignment horizontal="right"/>
    </xf>
    <xf numFmtId="169" fontId="14" fillId="9" borderId="2" xfId="0" quotePrefix="1" applyNumberFormat="1" applyFont="1" applyFill="1" applyBorder="1" applyAlignment="1">
      <alignment horizontal="right"/>
    </xf>
    <xf numFmtId="169" fontId="14" fillId="8" borderId="2" xfId="0" quotePrefix="1" applyNumberFormat="1" applyFont="1" applyFill="1" applyBorder="1" applyAlignment="1">
      <alignment horizontal="right"/>
    </xf>
    <xf numFmtId="169" fontId="12" fillId="5" borderId="2" xfId="0" applyNumberFormat="1" applyFont="1" applyFill="1" applyBorder="1"/>
    <xf numFmtId="169" fontId="14" fillId="8" borderId="6" xfId="0" quotePrefix="1" applyNumberFormat="1" applyFont="1" applyFill="1" applyBorder="1" applyAlignment="1">
      <alignment horizontal="right"/>
    </xf>
    <xf numFmtId="169" fontId="12" fillId="5" borderId="5" xfId="0" applyNumberFormat="1" applyFont="1" applyFill="1" applyBorder="1"/>
    <xf numFmtId="0" fontId="12" fillId="0" borderId="0" xfId="0" applyFont="1" applyAlignment="1">
      <alignment wrapText="1"/>
    </xf>
    <xf numFmtId="169" fontId="12" fillId="10" borderId="2" xfId="0" applyNumberFormat="1" applyFont="1" applyFill="1" applyBorder="1"/>
    <xf numFmtId="0" fontId="15" fillId="4" borderId="2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169" fontId="12" fillId="10" borderId="6" xfId="0" applyNumberFormat="1" applyFont="1" applyFill="1" applyBorder="1"/>
    <xf numFmtId="169" fontId="12" fillId="10" borderId="5" xfId="0" applyNumberFormat="1" applyFont="1" applyFill="1" applyBorder="1"/>
  </cellXfs>
  <cellStyles count="20">
    <cellStyle name="Cancel" xfId="1" xr:uid="{00000000-0005-0000-0000-000000000000}"/>
    <cellStyle name="Diseño" xfId="2" xr:uid="{00000000-0005-0000-0000-000001000000}"/>
    <cellStyle name="Estilo 1" xfId="3" xr:uid="{00000000-0005-0000-0000-000002000000}"/>
    <cellStyle name="Excel Built-in Normal" xfId="4" xr:uid="{00000000-0005-0000-0000-000003000000}"/>
    <cellStyle name="Millares 2" xfId="5" xr:uid="{00000000-0005-0000-0000-000004000000}"/>
    <cellStyle name="Millares 3" xfId="6" xr:uid="{00000000-0005-0000-0000-000005000000}"/>
    <cellStyle name="Moneda" xfId="19" builtinId="4"/>
    <cellStyle name="Normal" xfId="0" builtinId="0"/>
    <cellStyle name="Normal 11 2" xfId="7" xr:uid="{00000000-0005-0000-0000-000007000000}"/>
    <cellStyle name="Normal 13" xfId="8" xr:uid="{00000000-0005-0000-0000-000008000000}"/>
    <cellStyle name="Normal 2" xfId="9" xr:uid="{00000000-0005-0000-0000-000009000000}"/>
    <cellStyle name="Normal 2 2 2 2" xfId="10" xr:uid="{00000000-0005-0000-0000-00000A000000}"/>
    <cellStyle name="Normal 2 2_Libro Planilla 2007-2008-2009" xfId="11" xr:uid="{00000000-0005-0000-0000-00000B000000}"/>
    <cellStyle name="Normal 2 3" xfId="12" xr:uid="{00000000-0005-0000-0000-00000C000000}"/>
    <cellStyle name="Normal 3" xfId="13" xr:uid="{00000000-0005-0000-0000-00000D000000}"/>
    <cellStyle name="Normal 4" xfId="14" xr:uid="{00000000-0005-0000-0000-00000E000000}"/>
    <cellStyle name="Normal 5" xfId="15" xr:uid="{00000000-0005-0000-0000-00000F000000}"/>
    <cellStyle name="Normal 6" xfId="16" xr:uid="{00000000-0005-0000-0000-000010000000}"/>
    <cellStyle name="Normal 7" xfId="17" xr:uid="{00000000-0005-0000-0000-000011000000}"/>
    <cellStyle name="Normal 9 2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0.720096990743" createdVersion="8" refreshedVersion="8" minRefreshableVersion="3" recordCount="15" xr:uid="{D284B0A3-B7C2-4F74-8218-DF92CC56C77C}">
  <cacheSource type="worksheet">
    <worksheetSource ref="A1:X5" sheet="DETALLE"/>
  </cacheSource>
  <cacheFields count="23">
    <cacheField name="CONCEPTO" numFmtId="0">
      <sharedItems count="5">
        <s v="SCTR SALUD"/>
        <s v="SCTR PENSIÓN"/>
        <s v="SC VIDA LEY"/>
        <s v="SALUD RIMAC"/>
        <s v="EXAMEN MEDICO DE INGRESO"/>
      </sharedItems>
    </cacheField>
    <cacheField name="CLIENTE" numFmtId="0">
      <sharedItems count="2">
        <s v="EUROPORTAGE"/>
        <s v="REMOFIRST"/>
      </sharedItems>
    </cacheField>
    <cacheField name="NRO_DOCUMENTO" numFmtId="0">
      <sharedItems containsBlank="1"/>
    </cacheField>
    <cacheField name="APELLIDO_PATERNO" numFmtId="0">
      <sharedItems/>
    </cacheField>
    <cacheField name="APELLIDO_MATERNO" numFmtId="0">
      <sharedItems containsBlank="1"/>
    </cacheField>
    <cacheField name="PRIMER_NOMBRE" numFmtId="0">
      <sharedItems/>
    </cacheField>
    <cacheField name="SEGUNDO_NOMBRE" numFmtId="0">
      <sharedItems containsBlank="1"/>
    </cacheField>
    <cacheField name="FECHA_NACIMIENT" numFmtId="0">
      <sharedItems containsBlank="1"/>
    </cacheField>
    <cacheField name="SEXO" numFmtId="0">
      <sharedItems containsBlank="1"/>
    </cacheField>
    <cacheField name="SALARIO" numFmtId="0">
      <sharedItems containsBlank="1"/>
    </cacheField>
    <cacheField name="FECHA_INGRESO_EMPRESA" numFmtId="0">
      <sharedItems containsBlank="1"/>
    </cacheField>
    <cacheField name="FEBRERO" numFmtId="168">
      <sharedItems containsSemiMixedTypes="0" containsString="0" containsNumber="1" minValue="0" maxValue="302"/>
    </cacheField>
    <cacheField name="MARZO" numFmtId="168">
      <sharedItems containsSemiMixedTypes="0" containsString="0" containsNumber="1" minValue="0" maxValue="1254"/>
    </cacheField>
    <cacheField name="ABRIL" numFmtId="168">
      <sharedItems containsSemiMixedTypes="0" containsString="0" containsNumber="1" minValue="0" maxValue="1253.2"/>
    </cacheField>
    <cacheField name="MAYO" numFmtId="168">
      <sharedItems containsString="0" containsBlank="1" containsNumber="1" minValue="0" maxValue="5016"/>
    </cacheField>
    <cacheField name="JUNIO" numFmtId="168">
      <sharedItems containsString="0" containsBlank="1" containsNumber="1" minValue="39.3333333333333" maxValue="2508"/>
    </cacheField>
    <cacheField name="JULIO" numFmtId="168">
      <sharedItems containsString="0" containsBlank="1" containsNumber="1" containsInteger="1" minValue="1613" maxValue="2508"/>
    </cacheField>
    <cacheField name="AGOSTO" numFmtId="168">
      <sharedItems containsString="0" containsBlank="1" containsNumber="1" containsInteger="1" minValue="1613" maxValue="2508"/>
    </cacheField>
    <cacheField name="SEPTIEMBRE" numFmtId="168">
      <sharedItems containsString="0" containsBlank="1" containsNumber="1" containsInteger="1" minValue="1613" maxValue="1613"/>
    </cacheField>
    <cacheField name="OCTUBRE" numFmtId="168">
      <sharedItems containsString="0" containsBlank="1" containsNumber="1" containsInteger="1" minValue="1613" maxValue="1613"/>
    </cacheField>
    <cacheField name="NOVIEMBRE" numFmtId="168">
      <sharedItems containsNonDate="0" containsString="0" containsBlank="1"/>
    </cacheField>
    <cacheField name="DICIEMBRE" numFmtId="168">
      <sharedItems containsNonDate="0" containsString="0"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44766351"/>
    <s v="VERA"/>
    <s v="NEYRA"/>
    <s v="BRAYDI"/>
    <s v="YUSSET"/>
    <s v="10/12/1987"/>
    <s v="M"/>
    <s v="18600"/>
    <s v="01/02/2025"/>
    <n v="118"/>
    <n v="118"/>
    <n v="113.54"/>
    <n v="114.59"/>
    <n v="114.573333333333"/>
    <m/>
    <m/>
    <m/>
    <m/>
    <m/>
    <m/>
    <m/>
  </r>
  <r>
    <x v="1"/>
    <x v="0"/>
    <s v="44766351"/>
    <s v="VERA"/>
    <s v="NEYRA"/>
    <s v="BRAYDI"/>
    <s v="YUSSET"/>
    <s v="10/12/1987"/>
    <s v="M"/>
    <s v="18600"/>
    <s v="01/02/2025"/>
    <n v="121.54"/>
    <n v="121.54"/>
    <n v="116.94499999999999"/>
    <n v="118.02"/>
    <n v="118.01"/>
    <m/>
    <m/>
    <m/>
    <m/>
    <m/>
    <m/>
    <m/>
  </r>
  <r>
    <x v="2"/>
    <x v="0"/>
    <s v="44766351"/>
    <s v="VERA"/>
    <s v="NEYRA"/>
    <s v="BRAYDI"/>
    <s v="YUSSET"/>
    <s v="10/12/1987"/>
    <s v="M"/>
    <s v="18600"/>
    <s v="01/02/2025"/>
    <n v="118"/>
    <n v="59"/>
    <n v="39.33"/>
    <n v="39.340000000000003"/>
    <n v="39.3333333333333"/>
    <m/>
    <m/>
    <m/>
    <m/>
    <m/>
    <m/>
    <m/>
  </r>
  <r>
    <x v="3"/>
    <x v="0"/>
    <s v="44766351"/>
    <s v="VERA"/>
    <s v="NEYRA"/>
    <s v="BRAYDI"/>
    <s v="YUSSET"/>
    <s v="10/12/1987"/>
    <s v="M"/>
    <s v="18600"/>
    <s v="01/02/2025"/>
    <n v="0"/>
    <n v="1254"/>
    <n v="1253.2"/>
    <n v="5016"/>
    <n v="2508"/>
    <n v="2508"/>
    <n v="2508"/>
    <m/>
    <m/>
    <m/>
    <m/>
    <s v="Esta poliza tiene una vigencia de un año, sin embargo el pago se fracciono a 6 meses: + S/.15,043.11 / 6 = S/. 2,508 (Finaliza pago de poliza en agosto)"/>
  </r>
  <r>
    <x v="4"/>
    <x v="0"/>
    <s v="44766351"/>
    <s v="VERA"/>
    <s v="NEYRA"/>
    <s v="BRAYDI"/>
    <s v="YUSSET"/>
    <s v="10/12/1987"/>
    <s v="M"/>
    <s v="18600"/>
    <s v="01/02/2025"/>
    <n v="302"/>
    <n v="0"/>
    <n v="0"/>
    <n v="0"/>
    <m/>
    <m/>
    <m/>
    <m/>
    <m/>
    <m/>
    <m/>
    <m/>
  </r>
  <r>
    <x v="0"/>
    <x v="0"/>
    <s v="40188741"/>
    <s v="PORTUGAL"/>
    <s v="SEGOVIA"/>
    <s v="CHRISTIAN"/>
    <m/>
    <s v="28/10/1978"/>
    <s v="M"/>
    <s v="14000"/>
    <s v="10/03/2025"/>
    <n v="0"/>
    <n v="113.54"/>
    <n v="113.54"/>
    <n v="114.57"/>
    <n v="114.573333333333"/>
    <m/>
    <m/>
    <m/>
    <m/>
    <m/>
    <m/>
    <m/>
  </r>
  <r>
    <x v="1"/>
    <x v="0"/>
    <s v="40188741"/>
    <s v="PORTUGAL"/>
    <s v="SEGOVIA"/>
    <s v="CHRISTIAN"/>
    <m/>
    <s v="28/10/1978"/>
    <s v="M"/>
    <s v="14000"/>
    <s v="10/03/2025"/>
    <n v="0"/>
    <n v="116.95"/>
    <n v="116.94499999999999"/>
    <n v="118.01"/>
    <n v="118.01"/>
    <m/>
    <m/>
    <m/>
    <m/>
    <m/>
    <m/>
    <m/>
  </r>
  <r>
    <x v="2"/>
    <x v="0"/>
    <s v="40188741"/>
    <s v="PORTUGAL"/>
    <s v="SEGOVIA"/>
    <s v="CHRISTIAN"/>
    <m/>
    <s v="28/10/1978"/>
    <s v="M"/>
    <s v="14000"/>
    <s v="10/03/2025"/>
    <n v="0"/>
    <n v="29.81"/>
    <n v="39.33"/>
    <n v="39.33"/>
    <n v="39.3333333333333"/>
    <m/>
    <m/>
    <m/>
    <m/>
    <m/>
    <m/>
    <m/>
  </r>
  <r>
    <x v="4"/>
    <x v="0"/>
    <s v="40188741"/>
    <s v="PORTUGAL"/>
    <s v="SEGOVIA"/>
    <s v="CHRISTIAN"/>
    <m/>
    <s v="28/10/1978"/>
    <s v="M"/>
    <s v="14000"/>
    <s v="10/03/2025"/>
    <n v="0"/>
    <n v="327"/>
    <n v="0"/>
    <n v="0"/>
    <m/>
    <m/>
    <m/>
    <m/>
    <m/>
    <m/>
    <m/>
    <m/>
  </r>
  <r>
    <x v="0"/>
    <x v="0"/>
    <s v="45648906"/>
    <s v="OPORTO"/>
    <s v="FIGUEROA"/>
    <s v="DAVIS "/>
    <s v="CESAR"/>
    <s v="27/03/1989"/>
    <s v="M"/>
    <s v="14000"/>
    <s v="01/05/2025"/>
    <n v="0"/>
    <n v="0"/>
    <n v="0"/>
    <n v="114.57"/>
    <n v="114.573333333333"/>
    <m/>
    <m/>
    <m/>
    <m/>
    <m/>
    <m/>
    <m/>
  </r>
  <r>
    <x v="1"/>
    <x v="0"/>
    <s v="45648906"/>
    <s v="OPORTO"/>
    <s v="FIGUEROA"/>
    <s v="DAVIS "/>
    <s v="CESAR"/>
    <s v="27/03/1989"/>
    <s v="M"/>
    <s v="14000"/>
    <s v="01/05/2025"/>
    <n v="0"/>
    <n v="0"/>
    <n v="0"/>
    <n v="118.01"/>
    <n v="118.01"/>
    <m/>
    <m/>
    <m/>
    <m/>
    <m/>
    <m/>
    <m/>
  </r>
  <r>
    <x v="2"/>
    <x v="0"/>
    <s v="45648906"/>
    <s v="OPORTO"/>
    <s v="FIGUEROA"/>
    <s v="DAVIS "/>
    <s v="CESAR"/>
    <s v="27/03/1989"/>
    <s v="M"/>
    <s v="14000"/>
    <s v="01/05/2025"/>
    <n v="0"/>
    <n v="0"/>
    <n v="0"/>
    <n v="39.33"/>
    <n v="39.3333333333333"/>
    <m/>
    <m/>
    <m/>
    <m/>
    <m/>
    <m/>
    <m/>
  </r>
  <r>
    <x v="4"/>
    <x v="0"/>
    <s v="45648906"/>
    <s v="OPORTO"/>
    <s v="FIGUEROA"/>
    <s v="DAVIS "/>
    <s v="CESAR"/>
    <s v="27/03/1989"/>
    <s v="M"/>
    <s v="14000"/>
    <s v="01/05/2025"/>
    <n v="0"/>
    <n v="0"/>
    <n v="0"/>
    <n v="301.97000000000003"/>
    <m/>
    <m/>
    <m/>
    <m/>
    <m/>
    <m/>
    <m/>
    <m/>
  </r>
  <r>
    <x v="3"/>
    <x v="0"/>
    <s v="45648906"/>
    <s v="OPORTO"/>
    <s v="FIGUEROA"/>
    <s v="DAVIS "/>
    <s v="CESAR"/>
    <s v="27/03/1989"/>
    <s v="M"/>
    <s v="14000"/>
    <s v="01/05/2025"/>
    <n v="0"/>
    <n v="0"/>
    <n v="0"/>
    <n v="1613"/>
    <n v="1613"/>
    <n v="1613"/>
    <n v="1613"/>
    <n v="1613"/>
    <n v="1613"/>
    <m/>
    <m/>
    <s v="29-05-2025 se realiza el primer pago de los seis correspondientes. Ultimo pago en Octubre."/>
  </r>
  <r>
    <x v="2"/>
    <x v="1"/>
    <m/>
    <s v="ZEVALLOS"/>
    <m/>
    <s v="HECTOR"/>
    <s v="ANDRES"/>
    <m/>
    <m/>
    <m/>
    <m/>
    <n v="29.81"/>
    <n v="59"/>
    <n v="39.34000000000000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C9194-B37F-4682-9614-0E4B2D0A9713}" name="TablaDinámica2" cacheId="13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9" firstHeaderRow="0" firstDataRow="1" firstDataCol="1" rowPageCount="1" colPageCount="1"/>
  <pivotFields count="23">
    <pivotField axis="axisRow" showAll="0">
      <items count="6">
        <item x="4"/>
        <item x="3"/>
        <item x="2"/>
        <item x="1"/>
        <item x="0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uma de FEBRERO" fld="11" baseField="0" baseItem="0" numFmtId="168"/>
    <dataField name="Suma de MARZO" fld="12" baseField="0" baseItem="0"/>
    <dataField name="Suma de ABRIL" fld="13" baseField="0" baseItem="0"/>
    <dataField name="Suma de MAYO" fld="14" baseField="0" baseItem="0"/>
    <dataField name="Suma de JUNIO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F6C6-FA19-4369-85F0-AEB76EB44046}">
  <sheetPr>
    <tabColor rgb="FF7030A0"/>
  </sheetPr>
  <dimension ref="A1:AH47"/>
  <sheetViews>
    <sheetView workbookViewId="0">
      <selection activeCell="G2" sqref="G2"/>
    </sheetView>
  </sheetViews>
  <sheetFormatPr defaultColWidth="11.42578125" defaultRowHeight="14.45"/>
  <cols>
    <col min="1" max="1" width="28.42578125" bestFit="1" customWidth="1"/>
    <col min="2" max="2" width="17.7109375" bestFit="1" customWidth="1"/>
    <col min="3" max="3" width="16.28515625" bestFit="1" customWidth="1"/>
    <col min="4" max="4" width="14.5703125" bestFit="1" customWidth="1"/>
    <col min="5" max="5" width="15.140625" bestFit="1" customWidth="1"/>
    <col min="6" max="6" width="15" style="20" bestFit="1" customWidth="1"/>
    <col min="7" max="34" width="11.42578125" style="20"/>
  </cols>
  <sheetData>
    <row r="1" spans="1:6">
      <c r="A1" s="17" t="s">
        <v>0</v>
      </c>
      <c r="B1" t="s">
        <v>1</v>
      </c>
      <c r="C1" s="20"/>
      <c r="D1" s="20"/>
      <c r="E1" s="20"/>
    </row>
    <row r="2" spans="1:6">
      <c r="C2" s="20"/>
      <c r="D2" s="20"/>
      <c r="E2" s="20"/>
    </row>
    <row r="3" spans="1:6">
      <c r="A3" s="17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>
      <c r="A4" s="18" t="s">
        <v>8</v>
      </c>
      <c r="B4" s="19">
        <v>302</v>
      </c>
      <c r="C4">
        <v>327</v>
      </c>
      <c r="D4">
        <v>0</v>
      </c>
      <c r="E4">
        <v>301.97000000000003</v>
      </c>
      <c r="F4"/>
    </row>
    <row r="5" spans="1:6">
      <c r="A5" s="18" t="s">
        <v>9</v>
      </c>
      <c r="B5" s="19">
        <v>0</v>
      </c>
      <c r="C5">
        <v>1254</v>
      </c>
      <c r="D5">
        <v>1253.2</v>
      </c>
      <c r="E5">
        <v>6629</v>
      </c>
      <c r="F5">
        <v>4121</v>
      </c>
    </row>
    <row r="6" spans="1:6" s="20" customFormat="1">
      <c r="A6" s="18" t="s">
        <v>10</v>
      </c>
      <c r="B6" s="19">
        <v>147.81</v>
      </c>
      <c r="C6">
        <v>147.81</v>
      </c>
      <c r="D6">
        <v>118</v>
      </c>
      <c r="E6">
        <v>118</v>
      </c>
      <c r="F6">
        <v>117.9999999999999</v>
      </c>
    </row>
    <row r="7" spans="1:6" s="20" customFormat="1">
      <c r="A7" s="18" t="s">
        <v>11</v>
      </c>
      <c r="B7" s="19">
        <v>121.54</v>
      </c>
      <c r="C7">
        <v>238.49</v>
      </c>
      <c r="D7">
        <v>233.89</v>
      </c>
      <c r="E7">
        <v>354.04</v>
      </c>
      <c r="F7">
        <v>354.03000000000003</v>
      </c>
    </row>
    <row r="8" spans="1:6" s="20" customFormat="1">
      <c r="A8" s="18" t="s">
        <v>12</v>
      </c>
      <c r="B8" s="19">
        <v>118</v>
      </c>
      <c r="C8">
        <v>231.54000000000002</v>
      </c>
      <c r="D8">
        <v>227.08</v>
      </c>
      <c r="E8">
        <v>343.73</v>
      </c>
      <c r="F8">
        <v>343.719999999999</v>
      </c>
    </row>
    <row r="9" spans="1:6" s="20" customFormat="1">
      <c r="A9" s="18" t="s">
        <v>13</v>
      </c>
      <c r="B9" s="19">
        <v>689.35</v>
      </c>
      <c r="C9">
        <v>2198.84</v>
      </c>
      <c r="D9">
        <v>1832.17</v>
      </c>
      <c r="E9">
        <v>7746.74</v>
      </c>
      <c r="F9">
        <v>4936.7499999999991</v>
      </c>
    </row>
    <row r="10" spans="1:6" s="20" customFormat="1"/>
    <row r="11" spans="1:6" s="20" customFormat="1"/>
    <row r="12" spans="1:6" s="20" customFormat="1"/>
    <row r="13" spans="1:6" s="20" customFormat="1"/>
    <row r="14" spans="1:6" s="20" customFormat="1"/>
    <row r="15" spans="1:6" s="20" customFormat="1"/>
    <row r="16" spans="1:6" s="20" customFormat="1"/>
    <row r="17" s="20" customFormat="1"/>
    <row r="18" s="20" customFormat="1"/>
    <row r="19" s="20" customFormat="1"/>
    <row r="20" s="20" customFormat="1"/>
    <row r="21" s="20" customFormat="1"/>
    <row r="22" s="20" customFormat="1"/>
    <row r="23" s="20" customFormat="1"/>
    <row r="24" s="20" customFormat="1"/>
    <row r="25" s="20" customFormat="1"/>
    <row r="26" s="20" customFormat="1"/>
    <row r="27" s="20" customFormat="1"/>
    <row r="28" s="20" customFormat="1"/>
    <row r="29" s="20" customFormat="1"/>
    <row r="30" s="20" customFormat="1"/>
    <row r="31" s="20" customFormat="1"/>
    <row r="32" s="20" customFormat="1"/>
    <row r="33" s="20" customFormat="1"/>
    <row r="34" s="20" customFormat="1"/>
    <row r="35" s="20" customFormat="1"/>
    <row r="36" s="20" customFormat="1"/>
    <row r="37" s="20" customFormat="1"/>
    <row r="38" s="20" customFormat="1"/>
    <row r="39" s="20" customFormat="1"/>
    <row r="40" s="20" customFormat="1"/>
    <row r="41" s="20" customFormat="1"/>
    <row r="42" s="20" customFormat="1"/>
    <row r="43" s="20" customFormat="1"/>
    <row r="44" s="20" customFormat="1"/>
    <row r="45" s="20" customFormat="1"/>
    <row r="46" s="20" customFormat="1"/>
    <row r="47" s="20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X28"/>
  <sheetViews>
    <sheetView tabSelected="1" zoomScale="90" zoomScaleNormal="90" workbookViewId="0">
      <pane xSplit="7" topLeftCell="H1" activePane="topRight" state="frozen"/>
      <selection pane="topRight" activeCell="U12" sqref="U12"/>
    </sheetView>
  </sheetViews>
  <sheetFormatPr defaultColWidth="18.28515625" defaultRowHeight="12.75" customHeight="1"/>
  <cols>
    <col min="1" max="1" width="25.5703125" style="1" customWidth="1"/>
    <col min="2" max="2" width="14.28515625" style="1" customWidth="1"/>
    <col min="3" max="3" width="16.85546875" style="2" customWidth="1"/>
    <col min="4" max="4" width="19.140625" style="3" bestFit="1" customWidth="1"/>
    <col min="5" max="5" width="19.85546875" style="3" bestFit="1" customWidth="1"/>
    <col min="6" max="6" width="17.42578125" style="3" bestFit="1" customWidth="1"/>
    <col min="7" max="7" width="19.140625" style="4" bestFit="1" customWidth="1"/>
    <col min="8" max="8" width="18.28515625" style="5" bestFit="1" customWidth="1"/>
    <col min="9" max="9" width="7.42578125" style="3" bestFit="1" customWidth="1"/>
    <col min="10" max="10" width="12.42578125" style="6" bestFit="1" customWidth="1"/>
    <col min="11" max="12" width="12.5703125" style="1" customWidth="1"/>
    <col min="13" max="13" width="9.7109375" style="1" bestFit="1" customWidth="1"/>
    <col min="14" max="15" width="11.28515625" style="1" bestFit="1" customWidth="1"/>
    <col min="16" max="16" width="11.5703125" style="1" customWidth="1"/>
    <col min="17" max="19" width="11.28515625" style="1" bestFit="1" customWidth="1"/>
    <col min="20" max="20" width="13.140625" style="1" bestFit="1" customWidth="1"/>
    <col min="21" max="22" width="11.28515625" style="1" bestFit="1" customWidth="1"/>
    <col min="23" max="23" width="10.5703125" style="1" bestFit="1" customWidth="1"/>
    <col min="24" max="24" width="73.85546875" style="1" customWidth="1"/>
    <col min="25" max="16384" width="18.28515625" style="1"/>
  </cols>
  <sheetData>
    <row r="1" spans="1:24" s="8" customFormat="1" ht="18" customHeight="1">
      <c r="A1" s="9" t="s">
        <v>14</v>
      </c>
      <c r="B1" s="9" t="s">
        <v>0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9" t="s">
        <v>32</v>
      </c>
      <c r="U1" s="9" t="s">
        <v>33</v>
      </c>
      <c r="V1" s="9" t="s">
        <v>34</v>
      </c>
      <c r="W1" s="9" t="s">
        <v>35</v>
      </c>
      <c r="X1" s="9" t="s">
        <v>36</v>
      </c>
    </row>
    <row r="2" spans="1:24" ht="15.75" customHeight="1">
      <c r="A2" s="10" t="s">
        <v>37</v>
      </c>
      <c r="B2" s="10" t="s">
        <v>38</v>
      </c>
      <c r="C2" s="11" t="s">
        <v>39</v>
      </c>
      <c r="D2" s="11" t="s">
        <v>40</v>
      </c>
      <c r="E2" s="11" t="s">
        <v>41</v>
      </c>
      <c r="F2" s="11" t="s">
        <v>42</v>
      </c>
      <c r="G2" s="11"/>
      <c r="H2" s="11" t="s">
        <v>43</v>
      </c>
      <c r="I2" s="12" t="s">
        <v>44</v>
      </c>
      <c r="J2" s="28">
        <v>2800000</v>
      </c>
      <c r="K2" s="15" t="s">
        <v>45</v>
      </c>
      <c r="L2" s="22">
        <f>155+2.5</f>
        <v>157.5</v>
      </c>
      <c r="M2" s="22">
        <f t="shared" ref="M2:N2" si="0">155+2.5</f>
        <v>157.5</v>
      </c>
      <c r="N2" s="22">
        <f t="shared" si="0"/>
        <v>157.5</v>
      </c>
      <c r="O2" s="33">
        <v>157.5</v>
      </c>
      <c r="P2" s="33">
        <v>157.5</v>
      </c>
      <c r="Q2" s="39">
        <v>157.5</v>
      </c>
      <c r="R2" s="43">
        <v>157.5</v>
      </c>
      <c r="S2" s="43">
        <f>R2</f>
        <v>157.5</v>
      </c>
      <c r="T2" s="43">
        <f>R2</f>
        <v>157.5</v>
      </c>
      <c r="U2" s="24"/>
      <c r="V2" s="24"/>
      <c r="W2" s="24"/>
      <c r="X2" s="10"/>
    </row>
    <row r="3" spans="1:24" ht="15.75" customHeight="1">
      <c r="A3" s="10" t="s">
        <v>37</v>
      </c>
      <c r="B3" s="10" t="s">
        <v>38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  <c r="I3" s="12" t="s">
        <v>52</v>
      </c>
      <c r="J3" s="28">
        <v>1500000</v>
      </c>
      <c r="K3" s="15" t="s">
        <v>45</v>
      </c>
      <c r="L3" s="22">
        <f t="shared" ref="L3:N5" si="1">106+2.5</f>
        <v>108.5</v>
      </c>
      <c r="M3" s="22">
        <f>106+2.5</f>
        <v>108.5</v>
      </c>
      <c r="N3" s="22">
        <f t="shared" ref="N3:N5" si="2">106+2.5</f>
        <v>108.5</v>
      </c>
      <c r="O3" s="33">
        <v>108.5</v>
      </c>
      <c r="P3" s="33">
        <v>108.5</v>
      </c>
      <c r="Q3" s="39">
        <v>108.5</v>
      </c>
      <c r="R3" s="43">
        <v>108.5</v>
      </c>
      <c r="S3" s="43">
        <f t="shared" ref="S3:S6" si="3">R3</f>
        <v>108.5</v>
      </c>
      <c r="T3" s="43">
        <f>R3</f>
        <v>108.5</v>
      </c>
      <c r="U3" s="24"/>
      <c r="V3" s="24"/>
      <c r="W3" s="24"/>
      <c r="X3" s="10"/>
    </row>
    <row r="4" spans="1:24" ht="15.75" customHeight="1">
      <c r="A4" s="10" t="s">
        <v>37</v>
      </c>
      <c r="B4" s="10" t="s">
        <v>38</v>
      </c>
      <c r="C4" s="11" t="s">
        <v>53</v>
      </c>
      <c r="D4" s="11" t="s">
        <v>54</v>
      </c>
      <c r="E4" s="11" t="s">
        <v>55</v>
      </c>
      <c r="F4" s="11" t="s">
        <v>56</v>
      </c>
      <c r="G4" s="11" t="s">
        <v>57</v>
      </c>
      <c r="H4" s="11" t="s">
        <v>58</v>
      </c>
      <c r="I4" s="12" t="s">
        <v>52</v>
      </c>
      <c r="J4" s="28">
        <v>1260000</v>
      </c>
      <c r="K4" s="15" t="s">
        <v>45</v>
      </c>
      <c r="L4" s="22">
        <f t="shared" si="1"/>
        <v>108.5</v>
      </c>
      <c r="M4" s="22">
        <f t="shared" si="1"/>
        <v>108.5</v>
      </c>
      <c r="N4" s="22">
        <f t="shared" si="2"/>
        <v>108.5</v>
      </c>
      <c r="O4" s="33">
        <v>108.5</v>
      </c>
      <c r="P4" s="33">
        <v>108.5</v>
      </c>
      <c r="Q4" s="39">
        <v>108.5</v>
      </c>
      <c r="R4" s="43">
        <v>108.5</v>
      </c>
      <c r="S4" s="43">
        <f t="shared" si="3"/>
        <v>108.5</v>
      </c>
      <c r="T4" s="43">
        <f>R4</f>
        <v>108.5</v>
      </c>
      <c r="U4" s="24"/>
      <c r="V4" s="24"/>
      <c r="W4" s="24"/>
      <c r="X4" s="14"/>
    </row>
    <row r="5" spans="1:24" ht="15.75" customHeight="1">
      <c r="A5" s="10" t="s">
        <v>37</v>
      </c>
      <c r="B5" s="10" t="s">
        <v>38</v>
      </c>
      <c r="C5" s="11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  <c r="I5" s="12" t="s">
        <v>44</v>
      </c>
      <c r="J5" s="28">
        <v>1600000</v>
      </c>
      <c r="K5" s="15" t="s">
        <v>45</v>
      </c>
      <c r="L5" s="36">
        <f t="shared" si="1"/>
        <v>108.5</v>
      </c>
      <c r="M5" s="36">
        <f t="shared" si="1"/>
        <v>108.5</v>
      </c>
      <c r="N5" s="36">
        <f t="shared" si="2"/>
        <v>108.5</v>
      </c>
      <c r="O5" s="34">
        <v>108.5</v>
      </c>
      <c r="P5" s="34">
        <v>108.5</v>
      </c>
      <c r="Q5" s="41">
        <v>108.5</v>
      </c>
      <c r="R5" s="43">
        <v>108.5</v>
      </c>
      <c r="S5" s="43">
        <f t="shared" si="3"/>
        <v>108.5</v>
      </c>
      <c r="T5" s="47">
        <f>R5</f>
        <v>108.5</v>
      </c>
      <c r="U5" s="23">
        <v>0</v>
      </c>
      <c r="V5" s="23">
        <v>0</v>
      </c>
      <c r="W5" s="23">
        <v>0</v>
      </c>
      <c r="X5" s="21"/>
    </row>
    <row r="6" spans="1:24" ht="15.75" customHeight="1">
      <c r="A6" s="10" t="s">
        <v>37</v>
      </c>
      <c r="B6" s="10" t="s">
        <v>38</v>
      </c>
      <c r="C6" s="29" t="s">
        <v>65</v>
      </c>
      <c r="D6" s="29" t="s">
        <v>66</v>
      </c>
      <c r="E6" s="29" t="s">
        <v>67</v>
      </c>
      <c r="F6" s="29" t="s">
        <v>68</v>
      </c>
      <c r="G6" s="29" t="s">
        <v>69</v>
      </c>
      <c r="H6" s="11"/>
      <c r="I6" s="12" t="s">
        <v>52</v>
      </c>
      <c r="J6" s="28">
        <v>1200000</v>
      </c>
      <c r="K6" s="35" t="s">
        <v>70</v>
      </c>
      <c r="L6" s="37"/>
      <c r="M6" s="38">
        <v>54.25</v>
      </c>
      <c r="N6" s="40">
        <v>108.5</v>
      </c>
      <c r="O6" s="39">
        <v>108.5</v>
      </c>
      <c r="P6" s="39">
        <v>108.5</v>
      </c>
      <c r="Q6" s="39">
        <v>108.5</v>
      </c>
      <c r="R6" s="43">
        <v>108.5</v>
      </c>
      <c r="S6" s="46">
        <f t="shared" si="3"/>
        <v>108.5</v>
      </c>
      <c r="T6" s="43">
        <f>R6</f>
        <v>108.5</v>
      </c>
      <c r="U6" s="31"/>
      <c r="V6" s="31"/>
      <c r="W6" s="31"/>
      <c r="X6" s="32"/>
    </row>
    <row r="7" spans="1:24">
      <c r="A7" s="44" t="s">
        <v>71</v>
      </c>
      <c r="B7" s="45"/>
      <c r="C7" s="45"/>
      <c r="D7" s="45"/>
      <c r="E7" s="45"/>
      <c r="F7" s="45"/>
      <c r="G7" s="45"/>
      <c r="H7" s="44"/>
      <c r="I7" s="44"/>
      <c r="J7" s="45"/>
      <c r="K7" s="44"/>
      <c r="L7" s="25">
        <f>SUM(L2:L5)</f>
        <v>483</v>
      </c>
      <c r="M7" s="26">
        <f>SUM(M2:M5)</f>
        <v>483</v>
      </c>
      <c r="N7" s="26">
        <f>SUM(N2:N5)</f>
        <v>483</v>
      </c>
      <c r="O7" s="26">
        <f>SUM(O2:O6)</f>
        <v>591.5</v>
      </c>
      <c r="P7" s="26">
        <f>SUM(P2:P6)</f>
        <v>591.5</v>
      </c>
      <c r="Q7" s="26">
        <f>SUM(Q2:Q6)</f>
        <v>591.5</v>
      </c>
      <c r="R7" s="26">
        <f>SUM(R2:R6)</f>
        <v>591.5</v>
      </c>
      <c r="S7" s="26">
        <f>SUM(S2:S6)</f>
        <v>591.5</v>
      </c>
      <c r="T7" s="26">
        <f>SUM(T2:T6)</f>
        <v>591.5</v>
      </c>
      <c r="U7" s="26">
        <f>SUM(U2:U5)</f>
        <v>0</v>
      </c>
      <c r="V7" s="26"/>
      <c r="W7" s="26"/>
      <c r="X7" s="13"/>
    </row>
    <row r="8" spans="1:24">
      <c r="H8" s="7"/>
      <c r="R8" s="16"/>
      <c r="S8" s="16"/>
      <c r="T8" s="16"/>
      <c r="U8" s="16"/>
    </row>
    <row r="9" spans="1:24">
      <c r="H9" s="7"/>
      <c r="N9" s="27">
        <f>L7+M7+N7</f>
        <v>1449</v>
      </c>
      <c r="Q9" s="27">
        <f>O7+P7+Q7+M6+N6</f>
        <v>1937.25</v>
      </c>
      <c r="T9" s="16">
        <f>R7+S7+T7</f>
        <v>1774.5</v>
      </c>
      <c r="U9" s="16"/>
      <c r="V9" s="16"/>
    </row>
    <row r="10" spans="1:24">
      <c r="N10" s="1" t="s">
        <v>72</v>
      </c>
      <c r="O10" s="16"/>
      <c r="P10" s="30"/>
      <c r="Q10" s="30"/>
      <c r="S10" s="16"/>
      <c r="T10" s="16"/>
    </row>
    <row r="11" spans="1:24">
      <c r="Q11" s="27">
        <v>1926</v>
      </c>
      <c r="S11" s="16"/>
      <c r="T11" s="16"/>
    </row>
    <row r="12" spans="1:24" ht="67.5">
      <c r="Q12" s="42" t="s">
        <v>73</v>
      </c>
      <c r="T12" s="42" t="s">
        <v>74</v>
      </c>
    </row>
    <row r="13" spans="1:24"/>
    <row r="14" spans="1:24">
      <c r="Q14" s="30">
        <f>Q9-Q11</f>
        <v>11.25</v>
      </c>
    </row>
    <row r="15" spans="1:24">
      <c r="Q15" s="1" t="s">
        <v>75</v>
      </c>
    </row>
    <row r="16" spans="1:24"/>
    <row r="17"/>
    <row r="18"/>
    <row r="19"/>
    <row r="20"/>
    <row r="21"/>
    <row r="22"/>
    <row r="23"/>
    <row r="24"/>
    <row r="25"/>
    <row r="26"/>
    <row r="27"/>
    <row r="28"/>
  </sheetData>
  <autoFilter ref="A1:X7" xr:uid="{00000000-0001-0000-0000-000000000000}"/>
  <mergeCells count="1">
    <mergeCell ref="A7:K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Rimac Seguros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Rimac Seguros</dc:creator>
  <cp:keywords/>
  <dc:description/>
  <cp:lastModifiedBy>Sandra Bello</cp:lastModifiedBy>
  <cp:revision/>
  <dcterms:created xsi:type="dcterms:W3CDTF">2012-04-18T17:02:36Z</dcterms:created>
  <dcterms:modified xsi:type="dcterms:W3CDTF">2026-06-05T21:41:59Z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1-Internal Use</vt:lpwstr>
  </property>
</Properties>
</file>