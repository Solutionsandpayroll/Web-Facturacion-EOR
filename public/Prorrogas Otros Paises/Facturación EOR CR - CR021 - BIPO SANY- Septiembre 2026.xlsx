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rarambulo_solutionsandpayroll_com/Documents/EMPLOYMENT OUTSOURCING/COSTA RICA/2.BIPO/SANY/Payroll/202609/"/>
    </mc:Choice>
  </mc:AlternateContent>
  <xr:revisionPtr revIDLastSave="1172" documentId="13_ncr:1_{F0618CF2-1894-46C3-9E5C-1AD538B0C7F8}" xr6:coauthVersionLast="47" xr6:coauthVersionMax="47" xr10:uidLastSave="{C0A981AF-84DB-45FD-BEDC-C65DCC80CBAE}"/>
  <bookViews>
    <workbookView xWindow="-120" yWindow="-120" windowWidth="20730" windowHeight="11040" xr2:uid="{00000000-000D-0000-FFFF-FFFF00000000}"/>
  </bookViews>
  <sheets>
    <sheet name="InvoiceDetails" sheetId="2" r:id="rId1"/>
    <sheet name="rpt_InformeNominaMes" sheetId="1" r:id="rId2"/>
  </sheets>
  <definedNames>
    <definedName name="_xlnm._FilterDatabase" localSheetId="0" hidden="1">InvoiceDetails!$A$3:$BG$3</definedName>
    <definedName name="_xlnm._FilterDatabase" localSheetId="1" hidden="1">rpt_InformeNominaMes!$A$3:$AU$5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" i="2" l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T5" i="1"/>
  <c r="Q4" i="2"/>
  <c r="AQ5" i="2" l="1"/>
  <c r="AP5" i="2"/>
  <c r="AO5" i="2"/>
  <c r="AN5" i="2"/>
  <c r="AM5" i="2"/>
  <c r="AD5" i="2"/>
  <c r="AC5" i="2"/>
  <c r="AB5" i="2"/>
  <c r="AA5" i="2"/>
  <c r="Z5" i="2"/>
  <c r="X5" i="2"/>
  <c r="U5" i="2"/>
  <c r="R5" i="2"/>
  <c r="P5" i="2"/>
  <c r="O5" i="2"/>
  <c r="N5" i="2"/>
  <c r="M5" i="2"/>
  <c r="L5" i="2"/>
  <c r="Y4" i="2"/>
  <c r="Y5" i="2" l="1"/>
  <c r="W4" i="2"/>
  <c r="V4" i="2"/>
  <c r="T4" i="2"/>
  <c r="S4" i="2"/>
  <c r="K4" i="2"/>
  <c r="AQ4" i="1"/>
  <c r="AJ4" i="2" s="1"/>
  <c r="AP4" i="1"/>
  <c r="AR4" i="2"/>
  <c r="AI4" i="2"/>
  <c r="AH4" i="2"/>
  <c r="S5" i="2" l="1"/>
  <c r="V5" i="2"/>
  <c r="Q5" i="2"/>
  <c r="T5" i="2"/>
  <c r="W5" i="2"/>
  <c r="AI5" i="2"/>
  <c r="AH5" i="2"/>
  <c r="AR5" i="2"/>
  <c r="AJ5" i="2" l="1"/>
  <c r="BA4" i="2" l="1"/>
  <c r="AG4" i="2"/>
  <c r="C4" i="2"/>
  <c r="B4" i="2"/>
  <c r="A4" i="2"/>
  <c r="AW4" i="2"/>
  <c r="AS4" i="2"/>
  <c r="AK4" i="2" l="1"/>
  <c r="AE4" i="2"/>
  <c r="AU4" i="2" l="1"/>
  <c r="AZ4" i="2" s="1"/>
  <c r="BB4" i="2" s="1"/>
  <c r="AX4" i="2" l="1"/>
  <c r="AS5" i="2"/>
  <c r="AW5" i="2" l="1"/>
  <c r="AK5" i="2" l="1"/>
  <c r="AV5" i="2" l="1"/>
  <c r="BA5" i="2" l="1"/>
  <c r="K5" i="2"/>
  <c r="AE5" i="2" l="1"/>
  <c r="AU5" i="2" l="1"/>
  <c r="AZ5" i="2" l="1"/>
  <c r="AX5" i="2"/>
  <c r="BB5" i="2" l="1"/>
</calcChain>
</file>

<file path=xl/sharedStrings.xml><?xml version="1.0" encoding="utf-8"?>
<sst xmlns="http://schemas.openxmlformats.org/spreadsheetml/2006/main" count="125" uniqueCount="111">
  <si>
    <t>COST REPORT</t>
  </si>
  <si>
    <t>EMPLOYER COST</t>
  </si>
  <si>
    <t>OTHER EMPLOYER COST</t>
  </si>
  <si>
    <t>TOTALS</t>
  </si>
  <si>
    <t>EMPLOYEE CODE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</si>
  <si>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</si>
  <si>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</si>
  <si>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</si>
  <si>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</si>
  <si>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</si>
  <si>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</si>
  <si>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</si>
  <si>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</si>
  <si>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</si>
  <si>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</si>
  <si>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</si>
  <si>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</si>
  <si>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</si>
  <si>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</si>
  <si>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</si>
  <si>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</si>
  <si>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</si>
  <si>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</si>
  <si>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</si>
  <si>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</si>
  <si>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</si>
  <si>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Holidays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</si>
  <si>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</si>
  <si>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</si>
  <si>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</si>
  <si>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</si>
  <si>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</si>
  <si>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</si>
  <si>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</si>
  <si>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</si>
  <si>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BASIC</t>
  </si>
  <si>
    <t>X100 - APORTE SEG SOCIAL EMPLEADOR</t>
  </si>
  <si>
    <t>X200 - APORTE INS EMPLEADOR</t>
  </si>
  <si>
    <t>13TH MONTH (AGUINALDO)</t>
  </si>
  <si>
    <t>TOTAL</t>
  </si>
  <si>
    <t>OTHER</t>
  </si>
  <si>
    <t>HEALT INSURANCE</t>
  </si>
  <si>
    <t>EXPENSES REIMBURSEMENT</t>
  </si>
  <si>
    <t>TOTAL EMPLOYEE COST</t>
  </si>
  <si>
    <t>FEE</t>
  </si>
  <si>
    <t>BANKING TAX</t>
  </si>
  <si>
    <t>EXCHANGE RATE</t>
  </si>
  <si>
    <t>TOTAL EMPLOYEE COST USD</t>
  </si>
  <si>
    <t>FEE USD</t>
  </si>
  <si>
    <t>TOTAL USD</t>
  </si>
  <si>
    <t>Onboarding</t>
  </si>
  <si>
    <t>Costa Rica</t>
  </si>
  <si>
    <t>BIPO SANY</t>
  </si>
  <si>
    <t>Monthly Payroll</t>
  </si>
  <si>
    <t>TOTALES</t>
  </si>
  <si>
    <t xml:space="preserve">Informe de Nómina Movimiento Liquidado MLQ , Nómina: ('ME01') Periodo: ('20260909') - </t>
  </si>
  <si>
    <t/>
  </si>
  <si>
    <t>EMPLEADO</t>
  </si>
  <si>
    <t>NOMBRE COMPLETO</t>
  </si>
  <si>
    <t>DOCUMENTO IDENTIDAD</t>
  </si>
  <si>
    <t>CCOSTO</t>
  </si>
  <si>
    <t>DESC.CCOSTO</t>
  </si>
  <si>
    <t>OFICIO</t>
  </si>
  <si>
    <t>DESC. OFICIO</t>
  </si>
  <si>
    <t>AREA</t>
  </si>
  <si>
    <t>DESC.AREA</t>
  </si>
  <si>
    <t>PROYECTO</t>
  </si>
  <si>
    <t>DESC.PROYECTO</t>
  </si>
  <si>
    <t>GRUPO</t>
  </si>
  <si>
    <t>DESC.GRUPO</t>
  </si>
  <si>
    <t>DPTO</t>
  </si>
  <si>
    <t>DESC.DEPTO</t>
  </si>
  <si>
    <t>NIVEL</t>
  </si>
  <si>
    <t>DESC.NIVEL</t>
  </si>
  <si>
    <t>FECHA ANTIGUEDAD</t>
  </si>
  <si>
    <t>SALARIO</t>
  </si>
  <si>
    <t>A000 - SALARIO ORDINARIO</t>
  </si>
  <si>
    <t>A019 - COMISIONES</t>
  </si>
  <si>
    <t>A023 - AUXILIO DE TRANSPORTE</t>
  </si>
  <si>
    <t>A024 - AUXILIO DE TELECOMUNICACIONES</t>
  </si>
  <si>
    <t>A025 - BONO SALARIAL</t>
  </si>
  <si>
    <t>A028 - AUXILIO DE SALUD</t>
  </si>
  <si>
    <t>A029 - AUXILIO ALIMENTACION</t>
  </si>
  <si>
    <t>A102 - AUXILIO TRANSPORTE</t>
  </si>
  <si>
    <t>G006 - VACACIONES DISFRUTADAS HABILES</t>
  </si>
  <si>
    <t>H100 - APORTE SEG SOCIAL</t>
  </si>
  <si>
    <t>I100 - APORTE BANCO POPULAR</t>
  </si>
  <si>
    <t>R003 - RETENCION EN LA FUENTE</t>
  </si>
  <si>
    <t>R004 - RETENCION EN LA FUENTE USD</t>
  </si>
  <si>
    <t>X300 - EXPENSES</t>
  </si>
  <si>
    <t>DEVENGADOS</t>
  </si>
  <si>
    <t>DEDUCCIONES</t>
  </si>
  <si>
    <t>APORTES DEL EMPLEADOR</t>
  </si>
  <si>
    <t>NETO A PAGAR</t>
  </si>
  <si>
    <t>CURRENCY</t>
  </si>
  <si>
    <t>PROVISION VACACIONES</t>
  </si>
  <si>
    <t>PROVISION AGUINALDO</t>
  </si>
  <si>
    <t>701910926</t>
  </si>
  <si>
    <t>OSCAR JOSUE PEREZ CASCANTE</t>
  </si>
  <si>
    <t>CR021</t>
  </si>
  <si>
    <t>STC</t>
  </si>
  <si>
    <t>SERVICE TECHNICIAN</t>
  </si>
  <si>
    <t>OPE</t>
  </si>
  <si>
    <t>OPERATION</t>
  </si>
  <si>
    <t>P002</t>
  </si>
  <si>
    <t>EOR</t>
  </si>
  <si>
    <t>73</t>
  </si>
  <si>
    <t>EOR STAFF</t>
  </si>
  <si>
    <t>POSTGRADUATE</t>
  </si>
  <si>
    <t>25/08/2025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</si>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</sst>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mmmm&quot;, &quot;yyyy"/>
    <numFmt numFmtId="165" formatCode="[$-10C0A]#,##0;\(#,##0\)"/>
    <numFmt numFmtId="166" formatCode="[$-10C0A]#,##0.00;\(#,##0.00\)"/>
    <numFmt numFmtId="167" formatCode="[$-10409]#,##0.00;\(#,##0.00\)"/>
    <numFmt numFmtId="168" formatCode="_-* #,##0_-;\-* #,##0_-;_-* &quot;-&quot;??_-;_-@_-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1C3A7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i/>
      <sz val="7"/>
      <color rgb="FF000000"/>
      <name val="Arial"/>
      <family val="2"/>
    </font>
    <font>
      <b/>
      <sz val="7"/>
      <color rgb="FFFFFFFF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FF6347"/>
        <bgColor rgb="FFFF6347"/>
      </patternFill>
    </fill>
    <fill>
      <patternFill patternType="solid">
        <fgColor rgb="FFDCFAFA"/>
        <bgColor rgb="FFDCFAFA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66">
    <xf numFmtId="0" fontId="1" fillId="0" borderId="0" xfId="0" applyFont="1"/>
    <xf numFmtId="0" fontId="3" fillId="2" borderId="4" xfId="0" applyFont="1" applyFill="1" applyBorder="1" applyAlignment="1">
      <alignment horizontal="center" vertical="top" wrapText="1" readingOrder="1"/>
    </xf>
    <xf numFmtId="43" fontId="4" fillId="4" borderId="4" xfId="1" applyFont="1" applyFill="1" applyBorder="1" applyAlignment="1">
      <alignment vertical="top" wrapText="1" readingOrder="1"/>
    </xf>
    <xf numFmtId="0" fontId="5" fillId="6" borderId="4" xfId="0" applyFont="1" applyFill="1" applyBorder="1" applyAlignment="1">
      <alignment horizontal="right" vertical="top" wrapText="1" readingOrder="1"/>
    </xf>
    <xf numFmtId="0" fontId="8" fillId="0" borderId="0" xfId="2" applyFont="1" applyAlignment="1">
      <alignment vertical="center"/>
    </xf>
    <xf numFmtId="0" fontId="2" fillId="0" borderId="0" xfId="2" applyFont="1" applyAlignment="1">
      <alignment horizontal="left" vertical="center" wrapText="1" readingOrder="1"/>
    </xf>
    <xf numFmtId="0" fontId="2" fillId="0" borderId="0" xfId="2" applyFont="1" applyAlignment="1">
      <alignment horizontal="left" vertical="center" readingOrder="1"/>
    </xf>
    <xf numFmtId="0" fontId="9" fillId="0" borderId="7" xfId="2" applyFont="1" applyBorder="1" applyAlignment="1">
      <alignment vertical="center" wrapText="1"/>
    </xf>
    <xf numFmtId="0" fontId="6" fillId="0" borderId="0" xfId="2" applyAlignment="1">
      <alignment vertical="center"/>
    </xf>
    <xf numFmtId="0" fontId="9" fillId="0" borderId="0" xfId="2" applyFont="1" applyAlignment="1">
      <alignment vertical="center"/>
    </xf>
    <xf numFmtId="0" fontId="1" fillId="0" borderId="0" xfId="2" applyFont="1"/>
    <xf numFmtId="2" fontId="6" fillId="0" borderId="0" xfId="2" applyNumberFormat="1" applyAlignment="1">
      <alignment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 readingOrder="1"/>
    </xf>
    <xf numFmtId="0" fontId="3" fillId="2" borderId="4" xfId="2" applyFont="1" applyFill="1" applyBorder="1" applyAlignment="1">
      <alignment horizontal="center" vertical="center" readingOrder="1"/>
    </xf>
    <xf numFmtId="0" fontId="3" fillId="9" borderId="4" xfId="2" applyFont="1" applyFill="1" applyBorder="1" applyAlignment="1">
      <alignment horizontal="center" vertical="center" wrapText="1" readingOrder="1"/>
    </xf>
    <xf numFmtId="0" fontId="3" fillId="2" borderId="6" xfId="2" applyFont="1" applyFill="1" applyBorder="1" applyAlignment="1">
      <alignment horizontal="center" vertical="center" wrapText="1" readingOrder="1"/>
    </xf>
    <xf numFmtId="0" fontId="3" fillId="0" borderId="0" xfId="2" applyFont="1" applyAlignment="1">
      <alignment horizontal="center" vertical="center" wrapText="1" readingOrder="1"/>
    </xf>
    <xf numFmtId="0" fontId="4" fillId="0" borderId="4" xfId="2" applyFont="1" applyBorder="1" applyAlignment="1">
      <alignment vertical="center" wrapText="1" readingOrder="1"/>
    </xf>
    <xf numFmtId="14" fontId="4" fillId="0" borderId="4" xfId="2" applyNumberFormat="1" applyFont="1" applyBorder="1" applyAlignment="1">
      <alignment vertical="center" wrapText="1" readingOrder="1"/>
    </xf>
    <xf numFmtId="0" fontId="4" fillId="0" borderId="4" xfId="2" applyFont="1" applyBorder="1" applyAlignment="1">
      <alignment vertical="center" readingOrder="1"/>
    </xf>
    <xf numFmtId="164" fontId="4" fillId="0" borderId="4" xfId="2" applyNumberFormat="1" applyFont="1" applyBorder="1" applyAlignment="1">
      <alignment vertical="center" wrapText="1" readingOrder="1"/>
    </xf>
    <xf numFmtId="165" fontId="4" fillId="0" borderId="4" xfId="2" applyNumberFormat="1" applyFont="1" applyBorder="1" applyAlignment="1">
      <alignment horizontal="right" vertical="center" wrapText="1" readingOrder="1"/>
    </xf>
    <xf numFmtId="165" fontId="4" fillId="0" borderId="0" xfId="2" applyNumberFormat="1" applyFont="1" applyAlignment="1">
      <alignment horizontal="right" vertical="center" wrapText="1" readingOrder="1"/>
    </xf>
    <xf numFmtId="166" fontId="4" fillId="0" borderId="4" xfId="2" applyNumberFormat="1" applyFont="1" applyBorder="1" applyAlignment="1">
      <alignment horizontal="right" vertical="center" wrapText="1" readingOrder="1"/>
    </xf>
    <xf numFmtId="166" fontId="4" fillId="12" borderId="4" xfId="2" applyNumberFormat="1" applyFont="1" applyFill="1" applyBorder="1" applyAlignment="1">
      <alignment horizontal="right" vertical="center" wrapText="1" readingOrder="1"/>
    </xf>
    <xf numFmtId="166" fontId="4" fillId="6" borderId="4" xfId="2" applyNumberFormat="1" applyFont="1" applyFill="1" applyBorder="1" applyAlignment="1">
      <alignment horizontal="right" vertical="center" wrapText="1" readingOrder="1"/>
    </xf>
    <xf numFmtId="0" fontId="4" fillId="0" borderId="0" xfId="2" applyFont="1" applyAlignment="1">
      <alignment vertical="center" wrapText="1" readingOrder="1"/>
    </xf>
    <xf numFmtId="0" fontId="5" fillId="0" borderId="4" xfId="2" applyFont="1" applyBorder="1" applyAlignment="1">
      <alignment horizontal="left" vertical="center" wrapText="1" readingOrder="1"/>
    </xf>
    <xf numFmtId="0" fontId="5" fillId="0" borderId="4" xfId="2" applyFont="1" applyBorder="1" applyAlignment="1">
      <alignment horizontal="left" vertical="center" readingOrder="1"/>
    </xf>
    <xf numFmtId="165" fontId="4" fillId="6" borderId="4" xfId="2" applyNumberFormat="1" applyFont="1" applyFill="1" applyBorder="1" applyAlignment="1">
      <alignment horizontal="right" vertical="center" wrapText="1" readingOrder="1"/>
    </xf>
    <xf numFmtId="165" fontId="1" fillId="0" borderId="0" xfId="2" applyNumberFormat="1" applyFont="1"/>
    <xf numFmtId="166" fontId="4" fillId="10" borderId="4" xfId="2" applyNumberFormat="1" applyFont="1" applyFill="1" applyBorder="1" applyAlignment="1">
      <alignment horizontal="right" vertical="center" wrapText="1" readingOrder="1"/>
    </xf>
    <xf numFmtId="166" fontId="4" fillId="11" borderId="4" xfId="2" applyNumberFormat="1" applyFont="1" applyFill="1" applyBorder="1" applyAlignment="1">
      <alignment horizontal="right" vertical="center" wrapText="1" readingOrder="1"/>
    </xf>
    <xf numFmtId="10" fontId="4" fillId="0" borderId="4" xfId="2" applyNumberFormat="1" applyFont="1" applyBorder="1" applyAlignment="1">
      <alignment vertical="center" readingOrder="1"/>
    </xf>
    <xf numFmtId="0" fontId="12" fillId="0" borderId="0" xfId="0" applyFont="1"/>
    <xf numFmtId="0" fontId="3" fillId="2" borderId="11" xfId="0" applyFont="1" applyFill="1" applyBorder="1" applyAlignment="1">
      <alignment horizontal="center" vertical="top" wrapText="1" readingOrder="1"/>
    </xf>
    <xf numFmtId="167" fontId="4" fillId="0" borderId="4" xfId="0" applyNumberFormat="1" applyFont="1" applyBorder="1" applyAlignment="1">
      <alignment vertical="top" wrapText="1" readingOrder="1"/>
    </xf>
    <xf numFmtId="43" fontId="4" fillId="0" borderId="4" xfId="1" applyFont="1" applyBorder="1" applyAlignment="1">
      <alignment horizontal="right" vertical="center" wrapText="1" readingOrder="1"/>
    </xf>
    <xf numFmtId="0" fontId="2" fillId="0" borderId="0" xfId="0" applyFont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43" fontId="4" fillId="0" borderId="4" xfId="1" applyFont="1" applyBorder="1" applyAlignment="1">
      <alignment vertical="top" wrapText="1" readingOrder="1"/>
    </xf>
    <xf numFmtId="43" fontId="4" fillId="3" borderId="4" xfId="1" applyFont="1" applyFill="1" applyBorder="1" applyAlignment="1">
      <alignment vertical="top" wrapText="1" readingOrder="1"/>
    </xf>
    <xf numFmtId="43" fontId="4" fillId="5" borderId="4" xfId="1" applyFont="1" applyFill="1" applyBorder="1" applyAlignment="1">
      <alignment vertical="top" wrapText="1" readingOrder="1"/>
    </xf>
    <xf numFmtId="43" fontId="1" fillId="0" borderId="0" xfId="0" applyNumberFormat="1" applyFont="1"/>
    <xf numFmtId="0" fontId="5" fillId="0" borderId="4" xfId="0" applyFont="1" applyBorder="1" applyAlignment="1">
      <alignment horizontal="right" vertical="top" wrapText="1" readingOrder="1"/>
    </xf>
    <xf numFmtId="43" fontId="5" fillId="6" borderId="4" xfId="1" applyFont="1" applyFill="1" applyBorder="1" applyAlignment="1">
      <alignment horizontal="right" vertical="top" wrapText="1" readingOrder="1"/>
    </xf>
    <xf numFmtId="43" fontId="4" fillId="6" borderId="4" xfId="1" applyFont="1" applyFill="1" applyBorder="1" applyAlignment="1">
      <alignment vertical="top" wrapText="1" readingOrder="1"/>
    </xf>
    <xf numFmtId="168" fontId="1" fillId="0" borderId="0" xfId="1" applyNumberFormat="1" applyFont="1"/>
    <xf numFmtId="2" fontId="1" fillId="0" borderId="0" xfId="0" applyNumberFormat="1" applyFont="1"/>
    <xf numFmtId="0" fontId="14" fillId="2" borderId="4" xfId="0" applyFont="1" applyFill="1" applyBorder="1" applyAlignment="1">
      <alignment horizontal="center" vertical="top" wrapText="1" readingOrder="1"/>
    </xf>
    <xf numFmtId="0" fontId="3" fillId="13" borderId="4" xfId="2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1" fillId="0" borderId="0" xfId="2" applyFont="1" applyAlignment="1">
      <alignment vertical="center"/>
    </xf>
    <xf numFmtId="0" fontId="11" fillId="8" borderId="8" xfId="2" applyFont="1" applyFill="1" applyBorder="1" applyAlignment="1">
      <alignment horizontal="center" vertical="center"/>
    </xf>
    <xf numFmtId="0" fontId="11" fillId="8" borderId="9" xfId="2" applyFont="1" applyFill="1" applyBorder="1" applyAlignment="1">
      <alignment horizontal="center" vertical="center"/>
    </xf>
    <xf numFmtId="0" fontId="11" fillId="8" borderId="10" xfId="2" applyFont="1" applyFill="1" applyBorder="1" applyAlignment="1">
      <alignment horizontal="center" vertical="center"/>
    </xf>
    <xf numFmtId="0" fontId="10" fillId="0" borderId="9" xfId="2" applyFont="1" applyBorder="1" applyAlignment="1">
      <alignment vertical="center"/>
    </xf>
    <xf numFmtId="0" fontId="7" fillId="7" borderId="5" xfId="0" applyFont="1" applyFill="1" applyBorder="1" applyAlignment="1">
      <alignment horizontal="center"/>
    </xf>
    <xf numFmtId="0" fontId="13" fillId="0" borderId="1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/>
    <xf numFmtId="0" fontId="13" fillId="0" borderId="0" xfId="0" applyFont="1" applyAlignment="1">
      <alignment horizontal="right" vertical="top" wrapText="1" readingOrder="1"/>
    </xf>
  </cellXfs>
  <cellStyles count="3">
    <cellStyle name="Millares" xfId="1" builtinId="3"/>
    <cellStyle name="Normal" xfId="0" builtinId="0"/>
    <cellStyle name="Normal 2" xfId="2" xr:uid="{FAF495D0-0736-4D20-8028-752A3844A34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F5F5F5"/>
      <rgbColor rgb="00FF6347"/>
      <rgbColor rgb="00DCFAF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1320800</xdr:colOff>
      <xdr:row>0</xdr:row>
      <xdr:rowOff>392037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875077</xdr:colOff>
      <xdr:row>1</xdr:row>
      <xdr:rowOff>431800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B148AD8-0672-46E9-A836-E035B4D8B7D7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5077" cy="873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91B5-DB6F-4918-A10C-B14CDD796A16}">
  <sheetPr>
    <outlinePr summaryBelow="0" summaryRight="0"/>
  </sheetPr>
  <dimension ref="A1:BG35"/>
  <sheetViews>
    <sheetView showGridLines="0" tabSelected="1" zoomScale="85" zoomScaleNormal="85" workbookViewId="0">
      <pane xSplit="3" ySplit="3" topLeftCell="AU4" activePane="bottomRight" state="frozen"/>
      <selection pane="topRight" activeCell="E1" sqref="E1"/>
      <selection pane="bottomLeft" activeCell="A4" sqref="A4"/>
      <selection pane="bottomRight" activeCell="BB5" sqref="BB5"/>
    </sheetView>
  </sheetViews>
  <sheetFormatPr baseColWidth="10" defaultColWidth="9.140625" defaultRowHeight="15" customHeight="1" x14ac:dyDescent="0.25"/>
  <cols>
    <col min="1" max="1" width="10.42578125" style="10" bestFit="1" customWidth="1"/>
    <col min="2" max="2" width="33.85546875" style="10" bestFit="1" customWidth="1"/>
    <col min="3" max="3" width="14.42578125" style="10" customWidth="1"/>
    <col min="4" max="4" width="14.5703125" style="10" customWidth="1"/>
    <col min="5" max="5" width="20.140625" style="10" customWidth="1"/>
    <col min="6" max="6" width="11.85546875" style="10" customWidth="1"/>
    <col min="7" max="7" width="32.85546875" style="10" bestFit="1" customWidth="1"/>
    <col min="8" max="8" width="11.85546875" style="10" bestFit="1" customWidth="1"/>
    <col min="9" max="9" width="12.42578125" style="10" bestFit="1" customWidth="1"/>
    <col min="10" max="10" width="11" style="10" bestFit="1" customWidth="1"/>
    <col min="11" max="11" width="10" style="10" customWidth="1"/>
    <col min="12" max="12" width="12.140625" style="10" customWidth="1"/>
    <col min="13" max="15" width="10" style="10" customWidth="1"/>
    <col min="16" max="16" width="12.140625" style="10" customWidth="1"/>
    <col min="17" max="17" width="15.5703125" style="10" customWidth="1"/>
    <col min="18" max="18" width="14.42578125" style="10" customWidth="1"/>
    <col min="19" max="19" width="15.5703125" style="10" customWidth="1"/>
    <col min="20" max="30" width="12.5703125" style="10" customWidth="1"/>
    <col min="31" max="31" width="11.42578125" style="10" customWidth="1"/>
    <col min="32" max="35" width="12.5703125" style="10" customWidth="1"/>
    <col min="36" max="36" width="11.5703125" style="10" bestFit="1" customWidth="1"/>
    <col min="37" max="37" width="9.140625" style="10" bestFit="1" customWidth="1"/>
    <col min="38" max="38" width="9.85546875" style="10" customWidth="1"/>
    <col min="39" max="39" width="9.5703125" style="10" bestFit="1" customWidth="1"/>
    <col min="40" max="40" width="12.5703125" style="10" customWidth="1"/>
    <col min="41" max="41" width="8.85546875" style="10" bestFit="1" customWidth="1"/>
    <col min="42" max="43" width="10.85546875" style="10" customWidth="1"/>
    <col min="44" max="44" width="15" style="10" customWidth="1"/>
    <col min="45" max="45" width="9" style="10" customWidth="1"/>
    <col min="46" max="46" width="12.5703125" style="10" customWidth="1"/>
    <col min="47" max="47" width="11.5703125" style="10" customWidth="1"/>
    <col min="48" max="48" width="8.42578125" style="10" customWidth="1"/>
    <col min="49" max="49" width="8.85546875" style="10" bestFit="1" customWidth="1"/>
    <col min="50" max="50" width="11.42578125" style="10" bestFit="1" customWidth="1"/>
    <col min="51" max="51" width="12.5703125" style="10" customWidth="1"/>
    <col min="52" max="52" width="10.42578125" style="10" customWidth="1"/>
    <col min="53" max="53" width="9.42578125" style="10" customWidth="1"/>
    <col min="54" max="54" width="9.140625" style="10" bestFit="1" customWidth="1"/>
    <col min="55" max="55" width="42.5703125" style="10" bestFit="1" customWidth="1"/>
    <col min="56" max="58" width="9.140625" style="10"/>
    <col min="59" max="59" width="14.85546875" style="10" bestFit="1" customWidth="1"/>
    <col min="60" max="16384" width="9.140625" style="10"/>
  </cols>
  <sheetData>
    <row r="1" spans="1:59" ht="18" x14ac:dyDescent="0.25">
      <c r="A1" s="4"/>
      <c r="B1" s="5" t="s">
        <v>0</v>
      </c>
      <c r="C1" s="5"/>
      <c r="D1" s="5"/>
      <c r="E1" s="5"/>
      <c r="F1" s="5"/>
      <c r="G1" s="6"/>
      <c r="H1" s="6"/>
      <c r="I1" s="6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7"/>
      <c r="AF1" s="8"/>
      <c r="AG1" s="8"/>
      <c r="AH1" s="8"/>
      <c r="AI1" s="8"/>
      <c r="AJ1" s="8"/>
      <c r="AK1" s="9"/>
      <c r="AL1" s="8"/>
      <c r="AM1" s="8"/>
      <c r="AN1" s="8"/>
      <c r="AO1" s="8"/>
      <c r="AP1" s="8"/>
      <c r="AQ1" s="8"/>
      <c r="AR1" s="8"/>
      <c r="AS1" s="9"/>
      <c r="AT1" s="8"/>
      <c r="AU1" s="8"/>
      <c r="AV1" s="8"/>
      <c r="AW1" s="8"/>
      <c r="AX1" s="8"/>
      <c r="AY1" s="8"/>
      <c r="AZ1" s="8"/>
      <c r="BA1" s="11"/>
      <c r="BB1" s="9"/>
    </row>
    <row r="2" spans="1:59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2"/>
      <c r="AF2" s="13"/>
      <c r="AG2" s="60" t="s">
        <v>1</v>
      </c>
      <c r="AH2" s="60"/>
      <c r="AI2" s="60"/>
      <c r="AJ2" s="60"/>
      <c r="AK2" s="60"/>
      <c r="AL2" s="13"/>
      <c r="AM2" s="56" t="s">
        <v>2</v>
      </c>
      <c r="AN2" s="57"/>
      <c r="AO2" s="57"/>
      <c r="AP2" s="57"/>
      <c r="AQ2" s="57"/>
      <c r="AR2" s="57"/>
      <c r="AS2" s="58"/>
      <c r="AT2" s="13"/>
      <c r="AU2" s="56" t="s">
        <v>3</v>
      </c>
      <c r="AV2" s="59"/>
      <c r="AW2" s="59"/>
      <c r="AX2" s="59"/>
      <c r="AY2" s="59"/>
      <c r="AZ2" s="59"/>
      <c r="BA2" s="59"/>
      <c r="BB2" s="59"/>
    </row>
    <row r="3" spans="1:59" s="55" customFormat="1" ht="48.75" customHeight="1" x14ac:dyDescent="0.25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5" t="s">
        <v>10</v>
      </c>
      <c r="H3" s="15" t="s">
        <v>11</v>
      </c>
      <c r="I3" s="14" t="s">
        <v>12</v>
      </c>
      <c r="J3" s="14" t="s">
        <v>13</v>
      </c>
      <c r="K3" s="52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6" t="s">
        <v>19</v>
      </c>
      <c r="Q3" s="16" t="s">
        <v>20</v>
      </c>
      <c r="R3" s="17" t="s">
        <v>21</v>
      </c>
      <c r="S3" s="17" t="s">
        <v>22</v>
      </c>
      <c r="T3" s="14" t="s">
        <v>23</v>
      </c>
      <c r="U3" s="17" t="s">
        <v>24</v>
      </c>
      <c r="V3" s="17" t="s">
        <v>25</v>
      </c>
      <c r="W3" s="17" t="s">
        <v>26</v>
      </c>
      <c r="X3" s="17" t="s">
        <v>27</v>
      </c>
      <c r="Y3" s="17" t="s">
        <v>28</v>
      </c>
      <c r="Z3" s="17" t="s">
        <v>29</v>
      </c>
      <c r="AA3" s="17" t="s">
        <v>30</v>
      </c>
      <c r="AB3" s="17" t="s">
        <v>31</v>
      </c>
      <c r="AC3" s="17" t="s">
        <v>32</v>
      </c>
      <c r="AD3" s="17" t="s">
        <v>33</v>
      </c>
      <c r="AE3" s="14" t="s">
        <v>34</v>
      </c>
      <c r="AF3" s="18"/>
      <c r="AG3" s="53" t="s">
        <v>35</v>
      </c>
      <c r="AH3" s="54" t="s">
        <v>36</v>
      </c>
      <c r="AI3" s="54" t="s">
        <v>37</v>
      </c>
      <c r="AJ3" s="54" t="s">
        <v>38</v>
      </c>
      <c r="AK3" s="54" t="s">
        <v>39</v>
      </c>
      <c r="AL3" s="18"/>
      <c r="AM3" s="17" t="s">
        <v>40</v>
      </c>
      <c r="AN3" s="17" t="s">
        <v>40</v>
      </c>
      <c r="AO3" s="17" t="s">
        <v>40</v>
      </c>
      <c r="AP3" s="17" t="s">
        <v>40</v>
      </c>
      <c r="AQ3" s="54" t="s">
        <v>41</v>
      </c>
      <c r="AR3" s="54" t="s">
        <v>42</v>
      </c>
      <c r="AS3" s="17" t="s">
        <v>39</v>
      </c>
      <c r="AT3" s="18"/>
      <c r="AU3" s="17" t="s">
        <v>43</v>
      </c>
      <c r="AV3" s="17" t="s">
        <v>44</v>
      </c>
      <c r="AW3" s="17" t="s">
        <v>45</v>
      </c>
      <c r="AX3" s="17" t="s">
        <v>39</v>
      </c>
      <c r="AY3" s="17" t="s">
        <v>46</v>
      </c>
      <c r="AZ3" s="17" t="s">
        <v>47</v>
      </c>
      <c r="BA3" s="17" t="s">
        <v>48</v>
      </c>
      <c r="BB3" s="17" t="s">
        <v>49</v>
      </c>
    </row>
    <row r="4" spans="1:59" x14ac:dyDescent="0.25">
      <c r="A4" s="19" t="str">
        <f>rpt_InformeNominaMes!A4</f>
        <v>701910926</v>
      </c>
      <c r="B4" s="19" t="str">
        <f>rpt_InformeNominaMes!B4</f>
        <v>OSCAR JOSUE PEREZ CASCANTE</v>
      </c>
      <c r="C4" s="20" t="str">
        <f>+rpt_InformeNominaMes!R4</f>
        <v>25/08/2025</v>
      </c>
      <c r="D4" s="20"/>
      <c r="E4" s="19" t="s">
        <v>50</v>
      </c>
      <c r="F4" s="19" t="s">
        <v>51</v>
      </c>
      <c r="G4" s="21" t="s">
        <v>52</v>
      </c>
      <c r="H4" s="22">
        <v>46266</v>
      </c>
      <c r="I4" s="21" t="s">
        <v>53</v>
      </c>
      <c r="J4" s="35">
        <v>0.27829999999999999</v>
      </c>
      <c r="K4" s="39">
        <f>rpt_InformeNominaMes!T4</f>
        <v>1750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f>+rpt_InformeNominaMes!U4+rpt_InformeNominaMes!X4</f>
        <v>171.11</v>
      </c>
      <c r="R4" s="39">
        <v>0</v>
      </c>
      <c r="S4" s="39">
        <f>+rpt_InformeNominaMes!W4</f>
        <v>30</v>
      </c>
      <c r="T4" s="39">
        <f>+rpt_InformeNominaMes!Z4</f>
        <v>0</v>
      </c>
      <c r="U4" s="39">
        <v>0</v>
      </c>
      <c r="V4" s="39">
        <f>+rpt_InformeNominaMes!Y4</f>
        <v>0</v>
      </c>
      <c r="W4" s="39">
        <f>+rpt_InformeNominaMes!AB4</f>
        <v>0</v>
      </c>
      <c r="X4" s="39">
        <v>0</v>
      </c>
      <c r="Y4" s="39">
        <f>+rpt_InformeNominaMes!V4+rpt_InformeNominaMes!AA4</f>
        <v>300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3">
        <f>+SUM($K4:$AD4)</f>
        <v>2251.11</v>
      </c>
      <c r="AF4" s="24"/>
      <c r="AG4" s="25">
        <f>rpt_InformeNominaMes!S4</f>
        <v>1750</v>
      </c>
      <c r="AH4" s="39">
        <f>+rpt_InformeNominaMes!AG4</f>
        <v>603.97</v>
      </c>
      <c r="AI4" s="39">
        <f>+rpt_InformeNominaMes!AH4</f>
        <v>22.51</v>
      </c>
      <c r="AJ4" s="39">
        <f>+rpt_InformeNominaMes!AQ4</f>
        <v>187.5925</v>
      </c>
      <c r="AK4" s="33">
        <f>SUM($AH4:$AJ4)</f>
        <v>814.07249999999999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39">
        <f>+rpt_InformeNominaMes!AI4</f>
        <v>0</v>
      </c>
      <c r="AS4" s="34">
        <f>SUM($AM4:$AR4)</f>
        <v>0</v>
      </c>
      <c r="AT4" s="24"/>
      <c r="AU4" s="25">
        <f>SUM(AE4,AK4,AS4,AW4)</f>
        <v>3090.1824999999999</v>
      </c>
      <c r="AV4" s="25">
        <f>135*AY4</f>
        <v>135</v>
      </c>
      <c r="AW4" s="25">
        <f t="shared" ref="AW4" si="0">25*AY4</f>
        <v>25</v>
      </c>
      <c r="AX4" s="25">
        <f t="shared" ref="AX4" si="1">AU4+AV4</f>
        <v>3225.1824999999999</v>
      </c>
      <c r="AY4" s="25">
        <v>1</v>
      </c>
      <c r="AZ4" s="26">
        <f>ROUND($AU4/$AY4,2)</f>
        <v>3090.18</v>
      </c>
      <c r="BA4" s="26">
        <f t="shared" ref="BA4" si="2">+AV4/AY4</f>
        <v>135</v>
      </c>
      <c r="BB4" s="26">
        <f>SUM($AZ4:$BA4)</f>
        <v>3225.18</v>
      </c>
      <c r="BC4" s="28"/>
      <c r="BD4" s="10">
        <v>135</v>
      </c>
      <c r="BG4" s="32"/>
    </row>
    <row r="5" spans="1:59" x14ac:dyDescent="0.25">
      <c r="A5" s="29"/>
      <c r="B5" s="19"/>
      <c r="C5" s="29"/>
      <c r="D5" s="29"/>
      <c r="E5" s="29"/>
      <c r="F5" s="29"/>
      <c r="G5" s="30" t="s">
        <v>54</v>
      </c>
      <c r="H5" s="30"/>
      <c r="I5" s="30"/>
      <c r="J5" s="30"/>
      <c r="K5" s="27">
        <f t="shared" ref="K5:AE5" si="3">+SUM(K4:K4)</f>
        <v>1750</v>
      </c>
      <c r="L5" s="27">
        <f t="shared" si="3"/>
        <v>0</v>
      </c>
      <c r="M5" s="27">
        <f t="shared" si="3"/>
        <v>0</v>
      </c>
      <c r="N5" s="27">
        <f t="shared" si="3"/>
        <v>0</v>
      </c>
      <c r="O5" s="27">
        <f t="shared" si="3"/>
        <v>0</v>
      </c>
      <c r="P5" s="27">
        <f t="shared" si="3"/>
        <v>0</v>
      </c>
      <c r="Q5" s="27">
        <f t="shared" si="3"/>
        <v>171.11</v>
      </c>
      <c r="R5" s="27">
        <f t="shared" si="3"/>
        <v>0</v>
      </c>
      <c r="S5" s="27">
        <f t="shared" si="3"/>
        <v>30</v>
      </c>
      <c r="T5" s="27">
        <f t="shared" si="3"/>
        <v>0</v>
      </c>
      <c r="U5" s="27">
        <f t="shared" si="3"/>
        <v>0</v>
      </c>
      <c r="V5" s="27">
        <f t="shared" si="3"/>
        <v>0</v>
      </c>
      <c r="W5" s="27">
        <f t="shared" si="3"/>
        <v>0</v>
      </c>
      <c r="X5" s="27">
        <f t="shared" si="3"/>
        <v>0</v>
      </c>
      <c r="Y5" s="27">
        <f t="shared" si="3"/>
        <v>300</v>
      </c>
      <c r="Z5" s="27">
        <f t="shared" si="3"/>
        <v>0</v>
      </c>
      <c r="AA5" s="27">
        <f t="shared" si="3"/>
        <v>0</v>
      </c>
      <c r="AB5" s="27">
        <f t="shared" si="3"/>
        <v>0</v>
      </c>
      <c r="AC5" s="27">
        <f t="shared" si="3"/>
        <v>0</v>
      </c>
      <c r="AD5" s="27">
        <f t="shared" si="3"/>
        <v>0</v>
      </c>
      <c r="AE5" s="27">
        <f t="shared" si="3"/>
        <v>2251.11</v>
      </c>
      <c r="AF5" s="24"/>
      <c r="AG5" s="3" t="s">
        <v>39</v>
      </c>
      <c r="AH5" s="27">
        <f>+SUM(AH4:AH4)</f>
        <v>603.97</v>
      </c>
      <c r="AI5" s="27">
        <f>+SUM(AI4:AI4)</f>
        <v>22.51</v>
      </c>
      <c r="AJ5" s="27">
        <f>+SUM(AJ4:AJ4)</f>
        <v>187.5925</v>
      </c>
      <c r="AK5" s="27">
        <f>+SUM(AK4:AK4)</f>
        <v>814.07249999999999</v>
      </c>
      <c r="AM5" s="27">
        <f t="shared" ref="AM5:AS5" si="4">+SUM(AM4:AM4)</f>
        <v>0</v>
      </c>
      <c r="AN5" s="27">
        <f t="shared" si="4"/>
        <v>0</v>
      </c>
      <c r="AO5" s="27">
        <f t="shared" si="4"/>
        <v>0</v>
      </c>
      <c r="AP5" s="27">
        <f t="shared" si="4"/>
        <v>0</v>
      </c>
      <c r="AQ5" s="27">
        <f t="shared" si="4"/>
        <v>0</v>
      </c>
      <c r="AR5" s="27">
        <f t="shared" si="4"/>
        <v>0</v>
      </c>
      <c r="AS5" s="27">
        <f t="shared" si="4"/>
        <v>0</v>
      </c>
      <c r="AT5" s="24"/>
      <c r="AU5" s="27">
        <f>+SUM(AU4:AU4)</f>
        <v>3090.1824999999999</v>
      </c>
      <c r="AV5" s="27">
        <f>+SUM(AV4:AV4)</f>
        <v>135</v>
      </c>
      <c r="AW5" s="27">
        <f>+SUM(AW4:AW4)</f>
        <v>25</v>
      </c>
      <c r="AX5" s="27">
        <f>+SUM(AX4:AX4)</f>
        <v>3225.1824999999999</v>
      </c>
      <c r="AY5" s="31"/>
      <c r="AZ5" s="27">
        <f>+SUM(AZ4:AZ4)</f>
        <v>3090.18</v>
      </c>
      <c r="BA5" s="27">
        <f>+SUM(BA4:BA4)</f>
        <v>135</v>
      </c>
      <c r="BB5" s="27">
        <f>+SUM(BB4:BB4)</f>
        <v>3225.18</v>
      </c>
    </row>
    <row r="6" spans="1:59" x14ac:dyDescent="0.25">
      <c r="AL6" s="18"/>
    </row>
    <row r="7" spans="1:59" x14ac:dyDescent="0.25"/>
    <row r="8" spans="1:59" x14ac:dyDescent="0.25"/>
    <row r="9" spans="1:59" x14ac:dyDescent="0.25"/>
    <row r="10" spans="1:59" x14ac:dyDescent="0.25"/>
    <row r="11" spans="1:59" x14ac:dyDescent="0.25"/>
    <row r="12" spans="1:59" x14ac:dyDescent="0.25"/>
    <row r="13" spans="1:59" x14ac:dyDescent="0.25"/>
    <row r="14" spans="1:59" x14ac:dyDescent="0.25"/>
    <row r="15" spans="1:59" x14ac:dyDescent="0.25"/>
    <row r="16" spans="1:5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mergeCells count="3">
    <mergeCell ref="AM2:AS2"/>
    <mergeCell ref="AU2:BB2"/>
    <mergeCell ref="AG2:AK2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&amp;R&amp;"Tahoma,Regular"&amp;7Página :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"/>
  <sheetViews>
    <sheetView showGridLines="0" zoomScaleNormal="100" workbookViewId="0">
      <pane xSplit="2" ySplit="3" topLeftCell="AI4" activePane="bottomRight" state="frozen"/>
      <selection pane="topRight" activeCell="C1" sqref="C1"/>
      <selection pane="bottomLeft" activeCell="A4" sqref="A4"/>
      <selection pane="bottomRight" activeCell="AQ4" activeCellId="1" sqref="AL4 AQ4"/>
    </sheetView>
  </sheetViews>
  <sheetFormatPr baseColWidth="10" defaultColWidth="11.5703125" defaultRowHeight="15" x14ac:dyDescent="0.25"/>
  <cols>
    <col min="1" max="1" width="20" style="36" customWidth="1"/>
    <col min="2" max="2" width="34.42578125" style="36" customWidth="1"/>
    <col min="3" max="3" width="13.5703125" style="36" customWidth="1"/>
    <col min="4" max="4" width="13.42578125" style="36" customWidth="1"/>
    <col min="5" max="5" width="28.85546875" style="36" bestFit="1" customWidth="1"/>
    <col min="6" max="6" width="13.5703125" style="36" customWidth="1"/>
    <col min="7" max="7" width="28.42578125" style="36" customWidth="1"/>
    <col min="8" max="8" width="13.42578125" style="36" customWidth="1"/>
    <col min="9" max="9" width="22.85546875" style="36" customWidth="1"/>
    <col min="10" max="10" width="13.42578125" style="36" customWidth="1"/>
    <col min="11" max="11" width="19.42578125" style="36" customWidth="1"/>
    <col min="12" max="12" width="13.42578125" style="36" customWidth="1"/>
    <col min="13" max="13" width="13.5703125" style="36" customWidth="1"/>
    <col min="14" max="15" width="13.42578125" style="36" customWidth="1"/>
    <col min="16" max="16" width="13.5703125" style="36" customWidth="1"/>
    <col min="17" max="18" width="13.42578125" style="36" customWidth="1"/>
    <col min="19" max="19" width="13.5703125" style="36" customWidth="1"/>
    <col min="20" max="35" width="12.5703125" style="36" customWidth="1"/>
    <col min="36" max="37" width="11.42578125" style="36" customWidth="1"/>
    <col min="38" max="38" width="13.42578125" style="36" customWidth="1"/>
    <col min="39" max="39" width="16.5703125" style="36" customWidth="1"/>
    <col min="40" max="44" width="11.5703125" style="36"/>
    <col min="45" max="46" width="12.85546875" style="36" bestFit="1" customWidth="1"/>
    <col min="47" max="16384" width="11.5703125" style="36"/>
  </cols>
  <sheetData>
    <row r="1" spans="1:47" ht="34.700000000000003" customHeight="1" x14ac:dyDescent="0.25">
      <c r="A1" s="64"/>
      <c r="B1" s="40" t="s">
        <v>55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65" t="s">
        <v>56</v>
      </c>
      <c r="U1" s="65"/>
      <c r="V1" s="65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/>
      <c r="AJ1" s="61"/>
      <c r="AK1" s="62"/>
      <c r="AL1" s="62"/>
      <c r="AM1" s="63"/>
      <c r="AN1"/>
      <c r="AO1"/>
      <c r="AP1"/>
      <c r="AQ1"/>
      <c r="AR1"/>
      <c r="AS1"/>
      <c r="AT1"/>
      <c r="AU1"/>
    </row>
    <row r="2" spans="1:47" ht="34.700000000000003" customHeight="1" x14ac:dyDescent="0.25">
      <c r="A2" s="64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/>
      <c r="AJ2" s="61"/>
      <c r="AK2" s="62"/>
      <c r="AL2" s="62"/>
      <c r="AM2" s="63"/>
      <c r="AN2"/>
      <c r="AO2"/>
      <c r="AP2"/>
      <c r="AQ2"/>
      <c r="AR2"/>
      <c r="AS2"/>
      <c r="AT2"/>
      <c r="AU2"/>
    </row>
    <row r="3" spans="1:47" ht="36" x14ac:dyDescent="0.25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  <c r="S3" s="1" t="s">
        <v>75</v>
      </c>
      <c r="T3" s="1" t="s">
        <v>76</v>
      </c>
      <c r="U3" s="51" t="s">
        <v>77</v>
      </c>
      <c r="V3" s="1" t="s">
        <v>78</v>
      </c>
      <c r="W3" s="1" t="s">
        <v>79</v>
      </c>
      <c r="X3" s="1" t="s">
        <v>80</v>
      </c>
      <c r="Y3" s="1" t="s">
        <v>81</v>
      </c>
      <c r="Z3" s="1" t="s">
        <v>82</v>
      </c>
      <c r="AA3" s="1" t="s">
        <v>83</v>
      </c>
      <c r="AB3" s="1" t="s">
        <v>84</v>
      </c>
      <c r="AC3" s="1" t="s">
        <v>85</v>
      </c>
      <c r="AD3" s="1" t="s">
        <v>86</v>
      </c>
      <c r="AE3" s="1" t="s">
        <v>87</v>
      </c>
      <c r="AF3" s="1" t="s">
        <v>88</v>
      </c>
      <c r="AG3" s="1" t="s">
        <v>36</v>
      </c>
      <c r="AH3" s="1" t="s">
        <v>37</v>
      </c>
      <c r="AI3" s="1" t="s">
        <v>89</v>
      </c>
      <c r="AJ3" s="1" t="s">
        <v>90</v>
      </c>
      <c r="AK3" s="1" t="s">
        <v>91</v>
      </c>
      <c r="AL3" s="1" t="s">
        <v>92</v>
      </c>
      <c r="AM3" s="1" t="s">
        <v>93</v>
      </c>
      <c r="AN3" s="1" t="s">
        <v>94</v>
      </c>
      <c r="AO3"/>
      <c r="AP3" s="37" t="s">
        <v>95</v>
      </c>
      <c r="AQ3" s="37" t="s">
        <v>96</v>
      </c>
      <c r="AR3"/>
      <c r="AS3"/>
      <c r="AT3"/>
      <c r="AU3"/>
    </row>
    <row r="4" spans="1:47" ht="12.6" customHeight="1" x14ac:dyDescent="0.25">
      <c r="A4" s="41" t="s">
        <v>97</v>
      </c>
      <c r="B4" s="41" t="s">
        <v>98</v>
      </c>
      <c r="C4" s="41" t="s">
        <v>97</v>
      </c>
      <c r="D4" s="41" t="s">
        <v>99</v>
      </c>
      <c r="E4" s="41" t="s">
        <v>52</v>
      </c>
      <c r="F4" s="41" t="s">
        <v>100</v>
      </c>
      <c r="G4" s="41" t="s">
        <v>101</v>
      </c>
      <c r="H4" s="41" t="s">
        <v>102</v>
      </c>
      <c r="I4" s="41" t="s">
        <v>103</v>
      </c>
      <c r="J4" s="41" t="s">
        <v>104</v>
      </c>
      <c r="K4" s="41" t="s">
        <v>105</v>
      </c>
      <c r="L4" s="41" t="s">
        <v>106</v>
      </c>
      <c r="M4" s="41" t="s">
        <v>107</v>
      </c>
      <c r="N4" s="41" t="s">
        <v>105</v>
      </c>
      <c r="O4" s="41" t="s">
        <v>105</v>
      </c>
      <c r="P4" s="41" t="s">
        <v>108</v>
      </c>
      <c r="Q4" s="41" t="s">
        <v>108</v>
      </c>
      <c r="R4" s="41" t="s">
        <v>109</v>
      </c>
      <c r="S4" s="42">
        <v>1750</v>
      </c>
      <c r="T4" s="42">
        <v>1750</v>
      </c>
      <c r="U4" s="42">
        <v>171.11</v>
      </c>
      <c r="V4" s="42">
        <v>300</v>
      </c>
      <c r="W4" s="42">
        <v>30</v>
      </c>
      <c r="X4" s="42"/>
      <c r="Y4" s="42"/>
      <c r="Z4" s="42"/>
      <c r="AA4" s="42"/>
      <c r="AB4" s="42"/>
      <c r="AC4" s="42">
        <v>221.28</v>
      </c>
      <c r="AD4" s="42">
        <v>22.51</v>
      </c>
      <c r="AE4" s="42">
        <v>14.56</v>
      </c>
      <c r="AF4" s="42"/>
      <c r="AG4" s="42">
        <v>603.97</v>
      </c>
      <c r="AH4" s="42">
        <v>22.51</v>
      </c>
      <c r="AI4" s="42">
        <v>0</v>
      </c>
      <c r="AJ4" s="43">
        <v>2251.11</v>
      </c>
      <c r="AK4" s="2">
        <v>258.34999999999997</v>
      </c>
      <c r="AL4" s="2">
        <v>626.48</v>
      </c>
      <c r="AM4" s="44">
        <v>1992.7600000000002</v>
      </c>
      <c r="AN4" s="2" t="s">
        <v>110</v>
      </c>
      <c r="AO4"/>
      <c r="AP4" s="38">
        <f t="shared" ref="AP4" si="0">SUM(T4:AB4)*3.89%</f>
        <v>87.568179000000015</v>
      </c>
      <c r="AQ4" s="38">
        <f t="shared" ref="AQ4" si="1">+SUM(T4:AB4)/12</f>
        <v>187.5925</v>
      </c>
      <c r="AR4"/>
      <c r="AS4"/>
      <c r="AT4" s="45"/>
      <c r="AU4" s="45"/>
    </row>
    <row r="5" spans="1:47" x14ac:dyDescent="0.25">
      <c r="A5" s="41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 t="s">
        <v>39</v>
      </c>
      <c r="T5" s="48">
        <f>SUM(T4)</f>
        <v>1750</v>
      </c>
      <c r="U5" s="48">
        <f t="shared" ref="U5:AM5" si="2">SUM(U4)</f>
        <v>171.11</v>
      </c>
      <c r="V5" s="48">
        <f t="shared" si="2"/>
        <v>300</v>
      </c>
      <c r="W5" s="48">
        <f t="shared" si="2"/>
        <v>30</v>
      </c>
      <c r="X5" s="48">
        <f t="shared" si="2"/>
        <v>0</v>
      </c>
      <c r="Y5" s="48">
        <f t="shared" si="2"/>
        <v>0</v>
      </c>
      <c r="Z5" s="48">
        <f t="shared" si="2"/>
        <v>0</v>
      </c>
      <c r="AA5" s="48">
        <f t="shared" si="2"/>
        <v>0</v>
      </c>
      <c r="AB5" s="48">
        <f t="shared" si="2"/>
        <v>0</v>
      </c>
      <c r="AC5" s="48">
        <f t="shared" si="2"/>
        <v>221.28</v>
      </c>
      <c r="AD5" s="48">
        <f t="shared" si="2"/>
        <v>22.51</v>
      </c>
      <c r="AE5" s="48">
        <f t="shared" si="2"/>
        <v>14.56</v>
      </c>
      <c r="AF5" s="48">
        <f t="shared" si="2"/>
        <v>0</v>
      </c>
      <c r="AG5" s="48">
        <f t="shared" si="2"/>
        <v>603.97</v>
      </c>
      <c r="AH5" s="48">
        <f t="shared" si="2"/>
        <v>22.51</v>
      </c>
      <c r="AI5" s="48">
        <f t="shared" si="2"/>
        <v>0</v>
      </c>
      <c r="AJ5" s="48">
        <f t="shared" si="2"/>
        <v>2251.11</v>
      </c>
      <c r="AK5" s="48">
        <f t="shared" si="2"/>
        <v>258.34999999999997</v>
      </c>
      <c r="AL5" s="48">
        <f t="shared" si="2"/>
        <v>626.48</v>
      </c>
      <c r="AM5" s="48">
        <f t="shared" si="2"/>
        <v>1992.7600000000002</v>
      </c>
      <c r="AN5"/>
      <c r="AO5"/>
      <c r="AP5"/>
      <c r="AQ5"/>
      <c r="AR5"/>
      <c r="AS5"/>
      <c r="AT5"/>
      <c r="AU5"/>
    </row>
    <row r="6" spans="1:47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45"/>
      <c r="W7"/>
      <c r="X7"/>
      <c r="Y7" s="49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 s="50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7" spans="1:47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</sheetData>
  <autoFilter ref="A3:AU5" xr:uid="{00000000-0001-0000-0000-000000000000}"/>
  <mergeCells count="4">
    <mergeCell ref="AJ1:AM1"/>
    <mergeCell ref="AJ2:AM2"/>
    <mergeCell ref="A1:A2"/>
    <mergeCell ref="T1:AH2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&amp;C&amp;"Tahoma,Regular"&amp;7Página :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InvoiceDetails</vt:lpstr>
      <vt:lpstr>rpt_InformeNominaMes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Yulieth Letrado Gonzalez - PrestServ</dc:creator>
  <cp:keywords/>
  <dc:description/>
  <cp:lastModifiedBy>Alfonso Fonseca</cp:lastModifiedBy>
  <cp:revision/>
  <dcterms:created xsi:type="dcterms:W3CDTF">2024-11-07T13:20:38Z</dcterms:created>
  <dcterms:modified xsi:type="dcterms:W3CDTF">2026-09-22T19:48:25Z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