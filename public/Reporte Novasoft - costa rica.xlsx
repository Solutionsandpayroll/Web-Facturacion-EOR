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an\Documents\S&amp;P\Documentos automatizacion\EOR\Automatizacion facturacion\Facturacion Tatiana\"/>
    </mc:Choice>
  </mc:AlternateContent>
  <xr:revisionPtr revIDLastSave="0" documentId="13_ncr:1_{FDD35F4F-B851-477A-9B53-93098C81027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oiceDetails" sheetId="2" r:id="rId1"/>
    <sheet name="rpt_InformeNominaMes" sheetId="1" r:id="rId2"/>
  </sheets>
  <definedNames>
    <definedName name="_xlnm._FilterDatabase" localSheetId="0" hidden="1">InvoiceDetails!$A$3:$BF$3</definedName>
    <definedName name="_xlnm._FilterDatabase" localSheetId="1" hidden="1">rpt_InformeNominaMes!$A$3:$AR$16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" i="2" l="1"/>
  <c r="AY4" i="2"/>
  <c r="AX4" i="2"/>
  <c r="S16" i="2" l="1"/>
  <c r="S15" i="2"/>
  <c r="S14" i="2"/>
  <c r="S13" i="2"/>
  <c r="S12" i="2"/>
  <c r="S11" i="2"/>
  <c r="S10" i="2"/>
  <c r="S9" i="2"/>
  <c r="S8" i="2"/>
  <c r="S7" i="2"/>
  <c r="S6" i="2"/>
  <c r="S5" i="2"/>
  <c r="S4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AN16" i="1"/>
  <c r="AM16" i="1"/>
  <c r="AN15" i="1"/>
  <c r="AM15" i="1"/>
  <c r="AN14" i="1"/>
  <c r="AM14" i="1"/>
  <c r="AN13" i="1"/>
  <c r="AM13" i="1"/>
  <c r="AN12" i="1"/>
  <c r="AM12" i="1"/>
  <c r="AN11" i="1"/>
  <c r="AM11" i="1"/>
  <c r="AN10" i="1"/>
  <c r="AM10" i="1"/>
  <c r="AN9" i="1"/>
  <c r="AM9" i="1"/>
  <c r="AN8" i="1"/>
  <c r="AM8" i="1"/>
  <c r="AN7" i="1"/>
  <c r="AM7" i="1"/>
  <c r="AN6" i="1"/>
  <c r="AM6" i="1"/>
  <c r="AN5" i="1"/>
  <c r="AM5" i="1"/>
  <c r="AM4" i="1"/>
  <c r="AX15" i="2" l="1"/>
  <c r="AX12" i="2"/>
  <c r="AX11" i="2"/>
  <c r="AX9" i="2"/>
  <c r="AX7" i="2"/>
  <c r="AX6" i="2"/>
  <c r="BC6" i="2" s="1"/>
  <c r="AK16" i="2"/>
  <c r="AJ16" i="2"/>
  <c r="AK15" i="2"/>
  <c r="AJ15" i="2"/>
  <c r="AK14" i="2"/>
  <c r="AJ14" i="2"/>
  <c r="AK13" i="2"/>
  <c r="AJ13" i="2"/>
  <c r="AK12" i="2"/>
  <c r="AJ12" i="2"/>
  <c r="AK11" i="2"/>
  <c r="AJ11" i="2"/>
  <c r="AK10" i="2"/>
  <c r="AJ10" i="2"/>
  <c r="AK9" i="2"/>
  <c r="AJ9" i="2"/>
  <c r="AK8" i="2"/>
  <c r="AJ8" i="2"/>
  <c r="AK7" i="2"/>
  <c r="AJ7" i="2"/>
  <c r="AK6" i="2"/>
  <c r="AJ6" i="2"/>
  <c r="AK5" i="2"/>
  <c r="AI16" i="2"/>
  <c r="AI15" i="2"/>
  <c r="AI14" i="2"/>
  <c r="AI13" i="2"/>
  <c r="AI12" i="2"/>
  <c r="AI11" i="2"/>
  <c r="AI10" i="2"/>
  <c r="AI9" i="2"/>
  <c r="AI8" i="2"/>
  <c r="AI7" i="2"/>
  <c r="AI6" i="2"/>
  <c r="AI5" i="2"/>
  <c r="AA16" i="2"/>
  <c r="Y16" i="2"/>
  <c r="X16" i="2"/>
  <c r="U16" i="2"/>
  <c r="M16" i="2"/>
  <c r="AA15" i="2"/>
  <c r="Y15" i="2"/>
  <c r="X15" i="2"/>
  <c r="U15" i="2"/>
  <c r="M15" i="2"/>
  <c r="AA14" i="2"/>
  <c r="Y14" i="2"/>
  <c r="X14" i="2"/>
  <c r="U14" i="2"/>
  <c r="M14" i="2"/>
  <c r="AA13" i="2"/>
  <c r="Y13" i="2"/>
  <c r="X13" i="2"/>
  <c r="U13" i="2"/>
  <c r="M13" i="2"/>
  <c r="AA12" i="2"/>
  <c r="Y12" i="2"/>
  <c r="X12" i="2"/>
  <c r="U12" i="2"/>
  <c r="M12" i="2"/>
  <c r="AA11" i="2"/>
  <c r="Y11" i="2"/>
  <c r="X11" i="2"/>
  <c r="U11" i="2"/>
  <c r="M11" i="2"/>
  <c r="AA10" i="2"/>
  <c r="Y10" i="2"/>
  <c r="X10" i="2"/>
  <c r="U10" i="2"/>
  <c r="M10" i="2"/>
  <c r="AA9" i="2"/>
  <c r="Y9" i="2"/>
  <c r="X9" i="2"/>
  <c r="U9" i="2"/>
  <c r="M9" i="2"/>
  <c r="AA8" i="2"/>
  <c r="Y8" i="2"/>
  <c r="X8" i="2"/>
  <c r="U8" i="2"/>
  <c r="M8" i="2"/>
  <c r="AA7" i="2"/>
  <c r="Y7" i="2"/>
  <c r="X7" i="2"/>
  <c r="U7" i="2"/>
  <c r="M7" i="2"/>
  <c r="AA6" i="2"/>
  <c r="Y6" i="2"/>
  <c r="X6" i="2"/>
  <c r="U6" i="2"/>
  <c r="M6" i="2"/>
  <c r="AA5" i="2"/>
  <c r="Y5" i="2"/>
  <c r="X5" i="2"/>
  <c r="U5" i="2"/>
  <c r="M5" i="2"/>
  <c r="D16" i="2"/>
  <c r="D15" i="2"/>
  <c r="D14" i="2"/>
  <c r="D13" i="2"/>
  <c r="D12" i="2"/>
  <c r="D11" i="2"/>
  <c r="D10" i="2"/>
  <c r="D9" i="2"/>
  <c r="D8" i="2"/>
  <c r="D7" i="2"/>
  <c r="D6" i="2"/>
  <c r="D5" i="2"/>
  <c r="C16" i="2"/>
  <c r="C15" i="2"/>
  <c r="C14" i="2"/>
  <c r="C13" i="2"/>
  <c r="C12" i="2"/>
  <c r="C11" i="2"/>
  <c r="C10" i="2"/>
  <c r="C9" i="2"/>
  <c r="C8" i="2"/>
  <c r="C7" i="2"/>
  <c r="C6" i="2"/>
  <c r="C5" i="2"/>
  <c r="A16" i="2"/>
  <c r="BE16" i="2" s="1"/>
  <c r="A15" i="2"/>
  <c r="BE15" i="2" s="1"/>
  <c r="A14" i="2"/>
  <c r="BE14" i="2" s="1"/>
  <c r="A13" i="2"/>
  <c r="BE13" i="2" s="1"/>
  <c r="A12" i="2"/>
  <c r="BE12" i="2" s="1"/>
  <c r="A11" i="2"/>
  <c r="BE11" i="2" s="1"/>
  <c r="A10" i="2"/>
  <c r="BE10" i="2" s="1"/>
  <c r="A9" i="2"/>
  <c r="BE9" i="2" s="1"/>
  <c r="A8" i="2"/>
  <c r="BE8" i="2" s="1"/>
  <c r="A7" i="2"/>
  <c r="BE7" i="2" s="1"/>
  <c r="A6" i="2"/>
  <c r="BE6" i="2" s="1"/>
  <c r="A5" i="2"/>
  <c r="BE5" i="2" s="1"/>
  <c r="AL6" i="2"/>
  <c r="AY6" i="2"/>
  <c r="AU6" i="2"/>
  <c r="AL16" i="2"/>
  <c r="AL15" i="2"/>
  <c r="AL14" i="2"/>
  <c r="AL13" i="2"/>
  <c r="AL12" i="2"/>
  <c r="AL11" i="2"/>
  <c r="AL10" i="2"/>
  <c r="AL9" i="2"/>
  <c r="AL8" i="2"/>
  <c r="AL7" i="2"/>
  <c r="AL5" i="2"/>
  <c r="AN4" i="1"/>
  <c r="Y4" i="2"/>
  <c r="AM12" i="2" l="1"/>
  <c r="AM9" i="2"/>
  <c r="AM13" i="2"/>
  <c r="AM8" i="2"/>
  <c r="AM16" i="2"/>
  <c r="AM6" i="2"/>
  <c r="AM10" i="2"/>
  <c r="AM14" i="2"/>
  <c r="AM5" i="2"/>
  <c r="AM7" i="2"/>
  <c r="AM11" i="2"/>
  <c r="AM15" i="2"/>
  <c r="AG6" i="2"/>
  <c r="AW6" i="2" s="1"/>
  <c r="AU16" i="2"/>
  <c r="AX16" i="2"/>
  <c r="BC16" i="2" s="1"/>
  <c r="AY16" i="2"/>
  <c r="AG16" i="2" l="1"/>
  <c r="AW16" i="2" s="1"/>
  <c r="AX13" i="2"/>
  <c r="AX8" i="2"/>
  <c r="BB16" i="2" l="1"/>
  <c r="BD16" i="2" s="1"/>
  <c r="BB6" i="2"/>
  <c r="BD6" i="2" s="1"/>
  <c r="AZ6" i="2"/>
  <c r="AU7" i="2"/>
  <c r="AY7" i="2"/>
  <c r="BC7" i="2"/>
  <c r="AZ16" i="2" l="1"/>
  <c r="AG7" i="2"/>
  <c r="AW7" i="2" s="1"/>
  <c r="AU15" i="2"/>
  <c r="AU14" i="2"/>
  <c r="AU13" i="2"/>
  <c r="AU12" i="2"/>
  <c r="AU11" i="2"/>
  <c r="AU10" i="2"/>
  <c r="AU9" i="2"/>
  <c r="AU8" i="2"/>
  <c r="AU5" i="2"/>
  <c r="BB7" i="2" l="1"/>
  <c r="BD7" i="2" s="1"/>
  <c r="AY5" i="2"/>
  <c r="AY8" i="2"/>
  <c r="AY9" i="2"/>
  <c r="AY10" i="2"/>
  <c r="AY11" i="2"/>
  <c r="AY12" i="2"/>
  <c r="AY13" i="2"/>
  <c r="AY14" i="2"/>
  <c r="AY15" i="2"/>
  <c r="AU4" i="2"/>
  <c r="AZ7" i="2" l="1"/>
  <c r="AY17" i="2"/>
  <c r="AT17" i="2"/>
  <c r="AS17" i="2"/>
  <c r="AR17" i="2"/>
  <c r="AQ17" i="2"/>
  <c r="AP17" i="2"/>
  <c r="AO17" i="2"/>
  <c r="AK4" i="2"/>
  <c r="AJ4" i="2"/>
  <c r="AA4" i="2"/>
  <c r="X4" i="2"/>
  <c r="U4" i="2"/>
  <c r="AF17" i="2"/>
  <c r="AE17" i="2"/>
  <c r="AD17" i="2"/>
  <c r="AC17" i="2"/>
  <c r="AB17" i="2"/>
  <c r="Z17" i="2"/>
  <c r="W17" i="2"/>
  <c r="T17" i="2"/>
  <c r="R17" i="2"/>
  <c r="Q17" i="2"/>
  <c r="P17" i="2"/>
  <c r="O17" i="2"/>
  <c r="N17" i="2"/>
  <c r="D4" i="2"/>
  <c r="BC15" i="2"/>
  <c r="BC14" i="2"/>
  <c r="BC13" i="2"/>
  <c r="BC12" i="2"/>
  <c r="BC11" i="2"/>
  <c r="BC10" i="2"/>
  <c r="BC9" i="2"/>
  <c r="BC8" i="2"/>
  <c r="BC5" i="2"/>
  <c r="AG9" i="2" l="1"/>
  <c r="AW9" i="2" s="1"/>
  <c r="S17" i="2"/>
  <c r="AK17" i="2"/>
  <c r="Y17" i="2"/>
  <c r="AJ17" i="2"/>
  <c r="AG11" i="2"/>
  <c r="AW11" i="2" s="1"/>
  <c r="AG13" i="2"/>
  <c r="AW13" i="2" s="1"/>
  <c r="U17" i="2"/>
  <c r="AG8" i="2"/>
  <c r="AW8" i="2" s="1"/>
  <c r="AG5" i="2"/>
  <c r="AW5" i="2" s="1"/>
  <c r="AG14" i="2"/>
  <c r="AW14" i="2" s="1"/>
  <c r="AA17" i="2"/>
  <c r="X17" i="2"/>
  <c r="V17" i="2"/>
  <c r="AG10" i="2"/>
  <c r="AW10" i="2" s="1"/>
  <c r="AG12" i="2"/>
  <c r="AW12" i="2" s="1"/>
  <c r="AG15" i="2"/>
  <c r="AW15" i="2" s="1"/>
  <c r="AL4" i="2"/>
  <c r="AM4" i="2" s="1"/>
  <c r="AM17" i="2" s="1"/>
  <c r="BB13" i="2" l="1"/>
  <c r="BD13" i="2" s="1"/>
  <c r="BB9" i="2"/>
  <c r="BD9" i="2" s="1"/>
  <c r="AL17" i="2"/>
  <c r="BB11" i="2"/>
  <c r="BD11" i="2" s="1"/>
  <c r="BB15" i="2"/>
  <c r="BD15" i="2" s="1"/>
  <c r="BB14" i="2"/>
  <c r="BD14" i="2" s="1"/>
  <c r="BB8" i="2"/>
  <c r="BD8" i="2" s="1"/>
  <c r="BB12" i="2"/>
  <c r="BD12" i="2" s="1"/>
  <c r="AZ5" i="2"/>
  <c r="AZ10" i="2"/>
  <c r="BC4" i="2"/>
  <c r="BC17" i="2" s="1"/>
  <c r="AX17" i="2"/>
  <c r="AZ13" i="2" l="1"/>
  <c r="AZ14" i="2"/>
  <c r="AZ9" i="2"/>
  <c r="AZ11" i="2"/>
  <c r="AZ15" i="2"/>
  <c r="AZ12" i="2"/>
  <c r="BB5" i="2"/>
  <c r="BD5" i="2" s="1"/>
  <c r="AZ8" i="2"/>
  <c r="BB10" i="2"/>
  <c r="BD10" i="2" s="1"/>
  <c r="AI4" i="2"/>
  <c r="M4" i="2" l="1"/>
  <c r="C4" i="2"/>
  <c r="A4" i="2"/>
  <c r="BE4" i="2" s="1"/>
  <c r="AU17" i="2"/>
  <c r="M17" i="2" l="1"/>
  <c r="AG4" i="2"/>
  <c r="AW4" i="2" s="1"/>
  <c r="BB4" i="2" s="1"/>
  <c r="AG17" i="2" l="1"/>
  <c r="AW17" i="2"/>
  <c r="AZ4" i="2" l="1"/>
  <c r="AZ17" i="2" s="1"/>
  <c r="BD4" i="2" l="1"/>
  <c r="BD17" i="2" s="1"/>
  <c r="BB17" i="2"/>
</calcChain>
</file>

<file path=xl/sharedStrings.xml><?xml version="1.0" encoding="utf-8"?>
<sst xmlns="http://schemas.openxmlformats.org/spreadsheetml/2006/main" count="449" uniqueCount="211">
  <si>
    <t>COST REPORT</t>
  </si>
  <si>
    <t>EMPLOYER COST</t>
  </si>
  <si>
    <t>OTHER EMPLOYER COST</t>
  </si>
  <si>
    <t>TOTALS</t>
  </si>
  <si>
    <t>EMPLOYEE CODE</t>
  </si>
  <si>
    <t>EE RF WID</t>
  </si>
  <si>
    <t>NAME</t>
  </si>
  <si>
    <t>Onboarding Date</t>
  </si>
  <si>
    <t>Offboarding Date</t>
  </si>
  <si>
    <t>EE Status (onboarding/active/offboarding)</t>
  </si>
  <si>
    <t>Country</t>
  </si>
  <si>
    <t>Customer Name</t>
  </si>
  <si>
    <t>Customer ID</t>
  </si>
  <si>
    <t>Payroll Month</t>
  </si>
  <si>
    <t>Service Type / Invoice Type</t>
  </si>
  <si>
    <t>ER SS rate %</t>
  </si>
  <si>
    <t>SALARY</t>
  </si>
  <si>
    <t>Rectroactive payment/Plus Compensation</t>
  </si>
  <si>
    <t>"Sick" Leave</t>
  </si>
  <si>
    <t>Alloawance 1 (Car Allowance)</t>
  </si>
  <si>
    <t>Unused Holidays</t>
  </si>
  <si>
    <t>Overtime</t>
  </si>
  <si>
    <t>Bonus/Commission</t>
  </si>
  <si>
    <t xml:space="preserve">Deduction or Gross Amount adjustments prevous month </t>
  </si>
  <si>
    <t>Alloawance 2 (Mobile &amp; Internet Allowance)</t>
  </si>
  <si>
    <t>Food allowance</t>
  </si>
  <si>
    <t>Alloawance 3 (Home/Remote work allowance)</t>
  </si>
  <si>
    <t>Alloawance 4 (Other allowances)</t>
  </si>
  <si>
    <t>Holidays</t>
  </si>
  <si>
    <t>Sign-on Bonus</t>
  </si>
  <si>
    <t>Transport allowance</t>
  </si>
  <si>
    <t>Wellness Allowance</t>
  </si>
  <si>
    <t>On Call/ Plus Disponibilidad</t>
  </si>
  <si>
    <t>Severance Pay (Taxable)</t>
  </si>
  <si>
    <t>Lieu of Notice</t>
  </si>
  <si>
    <t>Paternity/ Maternity leave</t>
  </si>
  <si>
    <t>PAYMENTS</t>
  </si>
  <si>
    <t>BASIC</t>
  </si>
  <si>
    <t>X100 - APORTE SEG SOCIAL EMPLEADOR</t>
  </si>
  <si>
    <t>X200 - APORTE INS EMPLEADOR</t>
  </si>
  <si>
    <t>13TH MONTH (AGUINALDO)</t>
  </si>
  <si>
    <t>TOTAL</t>
  </si>
  <si>
    <t>OTHER</t>
  </si>
  <si>
    <t>HEALT INSURANCE</t>
  </si>
  <si>
    <t>EXPENSES REIMBURSEMENT</t>
  </si>
  <si>
    <t>TOTAL EMPLOYEE COST</t>
  </si>
  <si>
    <t>FEE</t>
  </si>
  <si>
    <t>BANKING TAX</t>
  </si>
  <si>
    <t>EXCHANGE RATE</t>
  </si>
  <si>
    <t>TOTAL EMPLOYEE COST USD</t>
  </si>
  <si>
    <t>FEE USD</t>
  </si>
  <si>
    <t>TOTAL USD</t>
  </si>
  <si>
    <t>Onboarding</t>
  </si>
  <si>
    <t>Costa Rica</t>
  </si>
  <si>
    <t>Aluminati Network Group Limited</t>
  </si>
  <si>
    <t>Monthly Payroll</t>
  </si>
  <si>
    <t>Czarnikow Group Limited</t>
  </si>
  <si>
    <t>Flores &amp; Pelaez-Prada PLLC</t>
  </si>
  <si>
    <t>Berkheimer Enterprises LLC - DBA "Beneficial Talent Source</t>
  </si>
  <si>
    <t>Starlight Software Solutions</t>
  </si>
  <si>
    <t>Skellig Automation US LLC</t>
  </si>
  <si>
    <t>IPPC Technologies</t>
  </si>
  <si>
    <t>AIS Ventures LLC</t>
  </si>
  <si>
    <t>TOTALES</t>
  </si>
  <si>
    <r>
      <t xml:space="preserve">Payroll </t>
    </r>
    <r>
      <rPr>
        <b/>
        <sz val="11"/>
        <color rgb="FFFF0000"/>
        <rFont val="Calibri"/>
        <family val="2"/>
      </rPr>
      <t>Adjustments</t>
    </r>
    <r>
      <rPr>
        <b/>
        <sz val="11"/>
        <rFont val="Calibri"/>
        <family val="2"/>
      </rPr>
      <t xml:space="preserve"> (Previous months) Breakdown</t>
    </r>
  </si>
  <si>
    <t>HEALTH COST</t>
  </si>
  <si>
    <t>13TH SALARY</t>
  </si>
  <si>
    <t>EXPENSES</t>
  </si>
  <si>
    <t>HEALTH INSURANCE</t>
  </si>
  <si>
    <t>MEDICAL TEST</t>
  </si>
  <si>
    <t>LEAVE PAID REFOUND</t>
  </si>
  <si>
    <t>PARKING COST</t>
  </si>
  <si>
    <t>TOTAL COP</t>
  </si>
  <si>
    <t>JOSE ROBERTO AGUILAR BARRANTES</t>
  </si>
  <si>
    <t>TATIANA ARAYA POCHET</t>
  </si>
  <si>
    <t>SHERYL GERTRUDIS CAMBRONERO ESTRADA</t>
  </si>
  <si>
    <t>YILLARY KARINA ELLIS PETERS</t>
  </si>
  <si>
    <t>BERNAL FALLAS BARBOZA</t>
  </si>
  <si>
    <t>PRISCILLA GRACE POLSON GIESBRECHT</t>
  </si>
  <si>
    <t>JONATHAN ALONSO SALAZAR GARCIA</t>
  </si>
  <si>
    <t>VIRGINIA PAOLA SALAZAR HERNANDEZ</t>
  </si>
  <si>
    <t>GILBERTO ESTEBAN SOLANO MENDEZ</t>
  </si>
  <si>
    <t>ANGEL ALBERTO TORRES GONZALEZ</t>
  </si>
  <si>
    <t>JORGE ESTEBAN VALVERDE ESPINOZA</t>
  </si>
  <si>
    <t>ELIZABETH STEPHANIE VARGAS SALAZAR</t>
  </si>
  <si>
    <t>GEANINA VILLALOBOS MOLINA</t>
  </si>
  <si>
    <t xml:space="preserve">Informe de Nómina Movimiento Liquidado MLQ , Nómina: ('ME01') Periodo: ('20260505') - </t>
  </si>
  <si>
    <t/>
  </si>
  <si>
    <t>EMPLEADO</t>
  </si>
  <si>
    <t>NOMBRE COMPLETO</t>
  </si>
  <si>
    <t>DOCUMENTO IDENTIDAD</t>
  </si>
  <si>
    <t>CCOSTO</t>
  </si>
  <si>
    <t>DESC.CCOSTO</t>
  </si>
  <si>
    <t>OFICIO</t>
  </si>
  <si>
    <t>DESC. OFICIO</t>
  </si>
  <si>
    <t>AREA</t>
  </si>
  <si>
    <t>DESC.AREA</t>
  </si>
  <si>
    <t>PROYECTO</t>
  </si>
  <si>
    <t>DESC.PROYECTO</t>
  </si>
  <si>
    <t>GRUPO</t>
  </si>
  <si>
    <t>DESC.GRUPO</t>
  </si>
  <si>
    <t>DPTO</t>
  </si>
  <si>
    <t>DESC.DEPTO</t>
  </si>
  <si>
    <t>NIVEL</t>
  </si>
  <si>
    <t>DESC.NIVEL</t>
  </si>
  <si>
    <t>FECHA ANTIGUEDAD</t>
  </si>
  <si>
    <t>SALARIO</t>
  </si>
  <si>
    <t>A000 - SALARIO ORDINARIO</t>
  </si>
  <si>
    <t>A023 - AUXILIO DE TRANSPORTE</t>
  </si>
  <si>
    <t>A024 - AUXILIO DE TELECOMUNICACIONES</t>
  </si>
  <si>
    <t>A025 - BONO SALARIAL</t>
  </si>
  <si>
    <t>A028 - AUXILIO DE SALUD</t>
  </si>
  <si>
    <t>C001 - HORA EXTRA DIURNA</t>
  </si>
  <si>
    <t>G006 - VACACIONES DISFRUTADAS HABILES</t>
  </si>
  <si>
    <t>H100 - APORTE SEG SOCIAL</t>
  </si>
  <si>
    <t>I100 - APORTE BANCO POPULAR</t>
  </si>
  <si>
    <t>R003 - RETENCION EN LA FUENTE</t>
  </si>
  <si>
    <t>R004 - RETENCION EN LA FUENTE USD</t>
  </si>
  <si>
    <t>DEVENGADOS</t>
  </si>
  <si>
    <t>DEDUCCIONES</t>
  </si>
  <si>
    <t>APORTES DEL EMPLEADOR</t>
  </si>
  <si>
    <t>NETO A PAGAR</t>
  </si>
  <si>
    <t>CURRENCY</t>
  </si>
  <si>
    <t>PROVISION VACACIONES</t>
  </si>
  <si>
    <t>PROVISION AGUINALDO</t>
  </si>
  <si>
    <t>206860207</t>
  </si>
  <si>
    <t>CR004</t>
  </si>
  <si>
    <t>ANGL RF</t>
  </si>
  <si>
    <t>CSS</t>
  </si>
  <si>
    <t>CLIENT SERVICE SPECIALIST</t>
  </si>
  <si>
    <t>OPE</t>
  </si>
  <si>
    <t>OPERATION</t>
  </si>
  <si>
    <t>P002</t>
  </si>
  <si>
    <t>EOR</t>
  </si>
  <si>
    <t>73</t>
  </si>
  <si>
    <t>EOR STAFF</t>
  </si>
  <si>
    <t>GRADUATE</t>
  </si>
  <si>
    <t>GARDUATE</t>
  </si>
  <si>
    <t>11/03/2024</t>
  </si>
  <si>
    <t>CRC</t>
  </si>
  <si>
    <t>112280205</t>
  </si>
  <si>
    <t>CR006</t>
  </si>
  <si>
    <t>CZARNIKOW</t>
  </si>
  <si>
    <t>INT</t>
  </si>
  <si>
    <t>INGREDIENT TRADER</t>
  </si>
  <si>
    <t>POSTGRADUATE</t>
  </si>
  <si>
    <t>17/08/2023</t>
  </si>
  <si>
    <t>USD</t>
  </si>
  <si>
    <t>207170459</t>
  </si>
  <si>
    <t>CR007</t>
  </si>
  <si>
    <t>FLORES &amp; PELAEZ-PRADA PLLC</t>
  </si>
  <si>
    <t>VA</t>
  </si>
  <si>
    <t>VIRTUAL ASSISTANT</t>
  </si>
  <si>
    <t>01/05/2024</t>
  </si>
  <si>
    <t>118530679</t>
  </si>
  <si>
    <t>CR020</t>
  </si>
  <si>
    <t>UPTOWN MOOSE LLC (RF)</t>
  </si>
  <si>
    <t>RCC</t>
  </si>
  <si>
    <t>REGULATORY COMPLIANCE COORDINATOR</t>
  </si>
  <si>
    <t>16/02/2026</t>
  </si>
  <si>
    <t>112850849</t>
  </si>
  <si>
    <t>CR009</t>
  </si>
  <si>
    <t xml:space="preserve">REMOFIRST - BERKHEIMER ENTERPRISES LLC </t>
  </si>
  <si>
    <t>SRO</t>
  </si>
  <si>
    <t>SR. ORACLE DEVELOPER</t>
  </si>
  <si>
    <t>01/03/2025</t>
  </si>
  <si>
    <t>114860203</t>
  </si>
  <si>
    <t>16/06/2023</t>
  </si>
  <si>
    <t>503990169</t>
  </si>
  <si>
    <t>CR003</t>
  </si>
  <si>
    <t xml:space="preserve"> SSS - RF</t>
  </si>
  <si>
    <t>SDE</t>
  </si>
  <si>
    <t>SR DEVELOPMENT ENGINEER</t>
  </si>
  <si>
    <t>21/05/2023</t>
  </si>
  <si>
    <t>117030514</t>
  </si>
  <si>
    <t>CR016</t>
  </si>
  <si>
    <t>SUOL INNOVATIONS LTD (RF)</t>
  </si>
  <si>
    <t>DOS</t>
  </si>
  <si>
    <t>DRIVER OPERATIONS SPECIALIST</t>
  </si>
  <si>
    <t>25/02/2026</t>
  </si>
  <si>
    <t>115630104</t>
  </si>
  <si>
    <t>QAAE</t>
  </si>
  <si>
    <t>QA AUTOMATION ENGINEER</t>
  </si>
  <si>
    <t>01/07/2025</t>
  </si>
  <si>
    <t>603250181</t>
  </si>
  <si>
    <t>CR012</t>
  </si>
  <si>
    <t>REMOFIRST - SKELLIG AUTOMATION US LLC</t>
  </si>
  <si>
    <t>SAE</t>
  </si>
  <si>
    <t>SENIOR AUTOMATION ENGINEER II</t>
  </si>
  <si>
    <t>07/07/2025</t>
  </si>
  <si>
    <t>110930288</t>
  </si>
  <si>
    <t>CR011</t>
  </si>
  <si>
    <t>REMOFIRST-IPPC TECHNOLOGIES</t>
  </si>
  <si>
    <t>TPM</t>
  </si>
  <si>
    <t>TECHNICAL PROGRAM MANAGER</t>
  </si>
  <si>
    <t>18/08/2025</t>
  </si>
  <si>
    <t>114980416</t>
  </si>
  <si>
    <t>CR019</t>
  </si>
  <si>
    <t>COMRISE INC (RF)</t>
  </si>
  <si>
    <t>RLGS</t>
  </si>
  <si>
    <t>RECRUITER/LEADS GEN SPECIALIST</t>
  </si>
  <si>
    <t>09/02/2026</t>
  </si>
  <si>
    <t>604810574</t>
  </si>
  <si>
    <t>CR015</t>
  </si>
  <si>
    <t>AIS VENTURES LLC (RF)</t>
  </si>
  <si>
    <t>LPA</t>
  </si>
  <si>
    <t>LOAN PROCESSING ASSISTANT</t>
  </si>
  <si>
    <t>01/09/2025</t>
  </si>
  <si>
    <t>Uptown Moose, LLC</t>
  </si>
  <si>
    <t>Comrise, Inc.</t>
  </si>
  <si>
    <t>Suol Innovations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</si>
</sst>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mmmm&quot;, &quot;yyyy"/>
    <numFmt numFmtId="165" formatCode="[$-10C0A]#,##0;\(#,##0\)"/>
    <numFmt numFmtId="166" formatCode="[$-10C0A]#,##0.00;\(#,##0.00\)"/>
    <numFmt numFmtId="167" formatCode="[$-10409]#,##0.00;\(#,##0.00\)"/>
  </numFmts>
  <fonts count="1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4"/>
      <color rgb="FF1C3A70"/>
      <name val="Tahoma"/>
      <family val="2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b/>
      <sz val="7"/>
      <color rgb="FF000000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Tahoma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7"/>
      <color theme="1"/>
      <name val="Tahoma"/>
      <family val="2"/>
    </font>
    <font>
      <sz val="11"/>
      <name val="Calibri"/>
      <family val="2"/>
    </font>
    <font>
      <i/>
      <sz val="7"/>
      <color rgb="FF000000"/>
      <name val="Arial"/>
      <family val="2"/>
    </font>
    <font>
      <b/>
      <sz val="7"/>
      <color rgb="FFFFFFFF"/>
      <name val="Tahoma"/>
    </font>
    <font>
      <sz val="7"/>
      <color rgb="FF000000"/>
      <name val="Tahoma"/>
    </font>
  </fonts>
  <fills count="15">
    <fill>
      <patternFill patternType="none"/>
    </fill>
    <fill>
      <patternFill patternType="gray125"/>
    </fill>
    <fill>
      <patternFill patternType="solid">
        <fgColor rgb="FF1F4763"/>
        <bgColor rgb="FF1F4763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  <fill>
      <patternFill patternType="solid">
        <fgColor rgb="FFFF6347"/>
        <bgColor rgb="FFFF6347"/>
      </patternFill>
    </fill>
    <fill>
      <patternFill patternType="solid">
        <fgColor rgb="FFDCFAFA"/>
        <bgColor rgb="FFDCFAFA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rgb="FF1F4763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0"/>
  </cellStyleXfs>
  <cellXfs count="67">
    <xf numFmtId="0" fontId="1" fillId="0" borderId="0" xfId="0" applyFont="1"/>
    <xf numFmtId="0" fontId="3" fillId="2" borderId="4" xfId="0" applyFont="1" applyFill="1" applyBorder="1" applyAlignment="1">
      <alignment horizontal="center" vertical="top" wrapText="1" readingOrder="1"/>
    </xf>
    <xf numFmtId="43" fontId="4" fillId="4" borderId="4" xfId="1" applyFont="1" applyFill="1" applyBorder="1" applyAlignment="1">
      <alignment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5" fillId="6" borderId="4" xfId="0" applyFont="1" applyFill="1" applyBorder="1" applyAlignment="1">
      <alignment horizontal="right" vertical="top" wrapText="1" readingOrder="1"/>
    </xf>
    <xf numFmtId="0" fontId="8" fillId="0" borderId="0" xfId="2" applyFont="1" applyAlignment="1">
      <alignment vertical="center"/>
    </xf>
    <xf numFmtId="0" fontId="2" fillId="0" borderId="0" xfId="2" applyFont="1" applyAlignment="1">
      <alignment horizontal="left" vertical="center" wrapText="1" readingOrder="1"/>
    </xf>
    <xf numFmtId="0" fontId="2" fillId="0" borderId="0" xfId="2" applyFont="1" applyAlignment="1">
      <alignment horizontal="left" vertical="center" readingOrder="1"/>
    </xf>
    <xf numFmtId="0" fontId="9" fillId="0" borderId="7" xfId="2" applyFont="1" applyBorder="1" applyAlignment="1">
      <alignment vertical="center" wrapText="1"/>
    </xf>
    <xf numFmtId="0" fontId="6" fillId="0" borderId="0" xfId="2" applyAlignment="1">
      <alignment vertical="center"/>
    </xf>
    <xf numFmtId="0" fontId="9" fillId="0" borderId="0" xfId="2" applyFont="1" applyAlignment="1">
      <alignment vertical="center"/>
    </xf>
    <xf numFmtId="0" fontId="1" fillId="0" borderId="0" xfId="2" applyFont="1"/>
    <xf numFmtId="2" fontId="6" fillId="0" borderId="0" xfId="2" applyNumberFormat="1" applyAlignment="1">
      <alignment vertical="center"/>
    </xf>
    <xf numFmtId="0" fontId="10" fillId="0" borderId="0" xfId="2" applyFont="1" applyAlignment="1">
      <alignment vertical="center"/>
    </xf>
    <xf numFmtId="0" fontId="11" fillId="0" borderId="0" xfId="2" applyFont="1" applyAlignment="1">
      <alignment horizontal="center" vertical="center"/>
    </xf>
    <xf numFmtId="0" fontId="3" fillId="2" borderId="4" xfId="2" applyFont="1" applyFill="1" applyBorder="1" applyAlignment="1">
      <alignment horizontal="center" vertical="center" wrapText="1" readingOrder="1"/>
    </xf>
    <xf numFmtId="0" fontId="3" fillId="2" borderId="4" xfId="2" applyFont="1" applyFill="1" applyBorder="1" applyAlignment="1">
      <alignment horizontal="center" vertical="center" readingOrder="1"/>
    </xf>
    <xf numFmtId="0" fontId="3" fillId="9" borderId="4" xfId="2" applyFont="1" applyFill="1" applyBorder="1" applyAlignment="1">
      <alignment horizontal="center" vertical="center" wrapText="1" readingOrder="1"/>
    </xf>
    <xf numFmtId="0" fontId="3" fillId="2" borderId="6" xfId="2" applyFont="1" applyFill="1" applyBorder="1" applyAlignment="1">
      <alignment horizontal="center" vertical="center" wrapText="1" readingOrder="1"/>
    </xf>
    <xf numFmtId="0" fontId="3" fillId="0" borderId="0" xfId="2" applyFont="1" applyAlignment="1">
      <alignment horizontal="center" vertical="center" wrapText="1" readingOrder="1"/>
    </xf>
    <xf numFmtId="0" fontId="4" fillId="0" borderId="4" xfId="2" applyFont="1" applyBorder="1" applyAlignment="1">
      <alignment vertical="center" wrapText="1" readingOrder="1"/>
    </xf>
    <xf numFmtId="14" fontId="4" fillId="0" borderId="4" xfId="2" applyNumberFormat="1" applyFont="1" applyBorder="1" applyAlignment="1">
      <alignment vertical="center" wrapText="1" readingOrder="1"/>
    </xf>
    <xf numFmtId="0" fontId="4" fillId="0" borderId="4" xfId="2" applyFont="1" applyBorder="1" applyAlignment="1">
      <alignment vertical="center" readingOrder="1"/>
    </xf>
    <xf numFmtId="164" fontId="4" fillId="0" borderId="4" xfId="2" applyNumberFormat="1" applyFont="1" applyBorder="1" applyAlignment="1">
      <alignment vertical="center" wrapText="1" readingOrder="1"/>
    </xf>
    <xf numFmtId="165" fontId="4" fillId="0" borderId="4" xfId="2" applyNumberFormat="1" applyFont="1" applyBorder="1" applyAlignment="1">
      <alignment horizontal="right" vertical="center" wrapText="1" readingOrder="1"/>
    </xf>
    <xf numFmtId="165" fontId="4" fillId="0" borderId="0" xfId="2" applyNumberFormat="1" applyFont="1" applyAlignment="1">
      <alignment horizontal="right" vertical="center" wrapText="1" readingOrder="1"/>
    </xf>
    <xf numFmtId="166" fontId="4" fillId="0" borderId="4" xfId="2" applyNumberFormat="1" applyFont="1" applyBorder="1" applyAlignment="1">
      <alignment horizontal="right" vertical="center" wrapText="1" readingOrder="1"/>
    </xf>
    <xf numFmtId="166" fontId="4" fillId="12" borderId="4" xfId="2" applyNumberFormat="1" applyFont="1" applyFill="1" applyBorder="1" applyAlignment="1">
      <alignment horizontal="right" vertical="center" wrapText="1" readingOrder="1"/>
    </xf>
    <xf numFmtId="166" fontId="4" fillId="6" borderId="4" xfId="2" applyNumberFormat="1" applyFont="1" applyFill="1" applyBorder="1" applyAlignment="1">
      <alignment horizontal="right" vertical="center" wrapText="1" readingOrder="1"/>
    </xf>
    <xf numFmtId="0" fontId="4" fillId="0" borderId="0" xfId="2" applyFont="1" applyAlignment="1">
      <alignment vertical="center" wrapText="1" readingOrder="1"/>
    </xf>
    <xf numFmtId="0" fontId="5" fillId="0" borderId="4" xfId="2" applyFont="1" applyBorder="1" applyAlignment="1">
      <alignment horizontal="left" vertical="center" wrapText="1" readingOrder="1"/>
    </xf>
    <xf numFmtId="0" fontId="5" fillId="0" borderId="4" xfId="2" applyFont="1" applyBorder="1" applyAlignment="1">
      <alignment horizontal="left" vertical="center" readingOrder="1"/>
    </xf>
    <xf numFmtId="165" fontId="4" fillId="6" borderId="4" xfId="2" applyNumberFormat="1" applyFont="1" applyFill="1" applyBorder="1" applyAlignment="1">
      <alignment horizontal="right" vertical="center" wrapText="1" readingOrder="1"/>
    </xf>
    <xf numFmtId="0" fontId="12" fillId="0" borderId="0" xfId="2" applyFont="1"/>
    <xf numFmtId="165" fontId="1" fillId="0" borderId="0" xfId="2" applyNumberFormat="1" applyFont="1"/>
    <xf numFmtId="166" fontId="4" fillId="10" borderId="4" xfId="2" applyNumberFormat="1" applyFont="1" applyFill="1" applyBorder="1" applyAlignment="1">
      <alignment horizontal="right" vertical="center" wrapText="1" readingOrder="1"/>
    </xf>
    <xf numFmtId="166" fontId="4" fillId="11" borderId="4" xfId="2" applyNumberFormat="1" applyFont="1" applyFill="1" applyBorder="1" applyAlignment="1">
      <alignment horizontal="right" vertical="center" wrapText="1" readingOrder="1"/>
    </xf>
    <xf numFmtId="4" fontId="1" fillId="0" borderId="0" xfId="2" applyNumberFormat="1" applyFont="1"/>
    <xf numFmtId="0" fontId="14" fillId="0" borderId="4" xfId="2" applyFont="1" applyBorder="1" applyAlignment="1">
      <alignment horizontal="center" vertical="center" wrapText="1" readingOrder="1"/>
    </xf>
    <xf numFmtId="0" fontId="14" fillId="0" borderId="4" xfId="2" applyFont="1" applyBorder="1" applyAlignment="1">
      <alignment horizontal="center" vertical="center" readingOrder="1"/>
    </xf>
    <xf numFmtId="10" fontId="4" fillId="0" borderId="4" xfId="2" applyNumberFormat="1" applyFont="1" applyBorder="1" applyAlignment="1">
      <alignment vertical="center" readingOrder="1"/>
    </xf>
    <xf numFmtId="0" fontId="15" fillId="0" borderId="0" xfId="0" applyFont="1"/>
    <xf numFmtId="0" fontId="3" fillId="2" borderId="11" xfId="0" applyFont="1" applyFill="1" applyBorder="1" applyAlignment="1">
      <alignment horizontal="center" vertical="top" wrapText="1" readingOrder="1"/>
    </xf>
    <xf numFmtId="167" fontId="4" fillId="0" borderId="4" xfId="0" applyNumberFormat="1" applyFont="1" applyBorder="1" applyAlignment="1">
      <alignment vertical="top" wrapText="1" readingOrder="1"/>
    </xf>
    <xf numFmtId="43" fontId="4" fillId="0" borderId="4" xfId="1" applyFont="1" applyBorder="1" applyAlignment="1">
      <alignment horizontal="right" vertical="center" wrapText="1" readingOrder="1"/>
    </xf>
    <xf numFmtId="0" fontId="17" fillId="2" borderId="4" xfId="0" applyFont="1" applyFill="1" applyBorder="1" applyAlignment="1">
      <alignment horizontal="center" vertical="top" wrapText="1" readingOrder="1"/>
    </xf>
    <xf numFmtId="0" fontId="18" fillId="0" borderId="4" xfId="0" applyFont="1" applyBorder="1" applyAlignment="1">
      <alignment vertical="top" wrapText="1" readingOrder="1"/>
    </xf>
    <xf numFmtId="43" fontId="18" fillId="0" borderId="4" xfId="1" applyFont="1" applyBorder="1" applyAlignment="1">
      <alignment vertical="top" wrapText="1" readingOrder="1"/>
    </xf>
    <xf numFmtId="43" fontId="18" fillId="3" borderId="4" xfId="1" applyFont="1" applyFill="1" applyBorder="1" applyAlignment="1">
      <alignment vertical="top" wrapText="1" readingOrder="1"/>
    </xf>
    <xf numFmtId="43" fontId="18" fillId="4" borderId="4" xfId="1" applyFont="1" applyFill="1" applyBorder="1" applyAlignment="1">
      <alignment vertical="top" wrapText="1" readingOrder="1"/>
    </xf>
    <xf numFmtId="43" fontId="18" fillId="5" borderId="4" xfId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3" fontId="1" fillId="0" borderId="0" xfId="0" applyNumberFormat="1" applyFont="1"/>
    <xf numFmtId="43" fontId="1" fillId="0" borderId="0" xfId="2" applyNumberFormat="1" applyFont="1"/>
    <xf numFmtId="2" fontId="1" fillId="0" borderId="0" xfId="2" applyNumberFormat="1" applyFont="1"/>
    <xf numFmtId="0" fontId="3" fillId="13" borderId="4" xfId="2" applyFont="1" applyFill="1" applyBorder="1" applyAlignment="1">
      <alignment horizontal="center" vertical="center" wrapText="1" readingOrder="1"/>
    </xf>
    <xf numFmtId="0" fontId="11" fillId="8" borderId="8" xfId="2" applyFont="1" applyFill="1" applyBorder="1" applyAlignment="1">
      <alignment horizontal="center" vertical="center"/>
    </xf>
    <xf numFmtId="0" fontId="11" fillId="8" borderId="9" xfId="2" applyFont="1" applyFill="1" applyBorder="1" applyAlignment="1">
      <alignment horizontal="center" vertical="center"/>
    </xf>
    <xf numFmtId="0" fontId="11" fillId="8" borderId="10" xfId="2" applyFont="1" applyFill="1" applyBorder="1" applyAlignment="1">
      <alignment horizontal="center" vertical="center"/>
    </xf>
    <xf numFmtId="0" fontId="10" fillId="0" borderId="9" xfId="2" applyFont="1" applyBorder="1" applyAlignment="1">
      <alignment vertical="center"/>
    </xf>
    <xf numFmtId="0" fontId="7" fillId="7" borderId="5" xfId="0" applyFont="1" applyFill="1" applyBorder="1" applyAlignment="1">
      <alignment horizontal="center"/>
    </xf>
    <xf numFmtId="0" fontId="16" fillId="0" borderId="1" xfId="0" applyFont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/>
    <xf numFmtId="0" fontId="16" fillId="0" borderId="0" xfId="0" applyFont="1" applyAlignment="1">
      <alignment horizontal="right" vertical="top" wrapText="1" readingOrder="1"/>
    </xf>
    <xf numFmtId="0" fontId="18" fillId="14" borderId="4" xfId="0" applyFont="1" applyFill="1" applyBorder="1" applyAlignment="1">
      <alignment vertical="top" wrapText="1" readingOrder="1"/>
    </xf>
  </cellXfs>
  <cellStyles count="3">
    <cellStyle name="Millares" xfId="1" builtinId="3"/>
    <cellStyle name="Normal" xfId="0" builtinId="0"/>
    <cellStyle name="Normal 2" xfId="2" xr:uid="{FAF495D0-0736-4D20-8028-752A3844A345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FFFFFF"/>
      <rgbColor rgb="001F4763"/>
      <rgbColor rgb="00D3D3D3"/>
      <rgbColor rgb="00F5F5F5"/>
      <rgbColor rgb="00FF6347"/>
      <rgbColor rgb="00DCFAF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1320800</xdr:colOff>
      <xdr:row>0</xdr:row>
      <xdr:rowOff>392037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875077</xdr:colOff>
      <xdr:row>1</xdr:row>
      <xdr:rowOff>431800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B148AD8-0672-46E9-A836-E035B4D8B7D7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875077" cy="873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91B5-DB6F-4918-A10C-B14CDD796A16}">
  <sheetPr>
    <outlinePr summaryBelow="0" summaryRight="0"/>
  </sheetPr>
  <dimension ref="A1:BF33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21" sqref="B21"/>
    </sheetView>
  </sheetViews>
  <sheetFormatPr baseColWidth="10" defaultColWidth="9.109375" defaultRowHeight="14.4" x14ac:dyDescent="0.3"/>
  <cols>
    <col min="1" max="1" width="10.33203125" style="11" bestFit="1" customWidth="1"/>
    <col min="2" max="2" width="10.33203125" style="11" customWidth="1"/>
    <col min="3" max="3" width="33.6640625" style="11" bestFit="1" customWidth="1"/>
    <col min="4" max="4" width="14.44140625" style="11" customWidth="1"/>
    <col min="5" max="5" width="14.6640625" style="11" customWidth="1"/>
    <col min="6" max="6" width="20.109375" style="11" customWidth="1"/>
    <col min="7" max="7" width="11.88671875" style="11" customWidth="1"/>
    <col min="8" max="8" width="32.88671875" style="11" bestFit="1" customWidth="1"/>
    <col min="9" max="9" width="10.5546875" style="11" bestFit="1" customWidth="1"/>
    <col min="10" max="10" width="11.88671875" style="11" bestFit="1" customWidth="1"/>
    <col min="11" max="11" width="12.33203125" style="11" bestFit="1" customWidth="1"/>
    <col min="12" max="12" width="11" style="11" bestFit="1" customWidth="1"/>
    <col min="13" max="13" width="10" style="11" customWidth="1"/>
    <col min="14" max="14" width="12.109375" style="11" customWidth="1"/>
    <col min="15" max="17" width="10" style="11" customWidth="1"/>
    <col min="18" max="18" width="12.109375" style="11" customWidth="1"/>
    <col min="19" max="19" width="15.6640625" style="11" customWidth="1"/>
    <col min="20" max="20" width="14.33203125" style="11" customWidth="1"/>
    <col min="21" max="21" width="15.6640625" style="11" customWidth="1"/>
    <col min="22" max="32" width="12.6640625" style="11" customWidth="1"/>
    <col min="33" max="33" width="11.33203125" style="11" customWidth="1"/>
    <col min="34" max="37" width="12.5546875" style="11" customWidth="1"/>
    <col min="38" max="38" width="11.5546875" style="11" bestFit="1" customWidth="1"/>
    <col min="39" max="39" width="9.109375" style="11" bestFit="1" customWidth="1"/>
    <col min="40" max="40" width="9.88671875" style="11" customWidth="1"/>
    <col min="41" max="41" width="9.5546875" style="11" bestFit="1" customWidth="1"/>
    <col min="42" max="42" width="12.6640625" style="11" customWidth="1"/>
    <col min="43" max="43" width="8.88671875" style="11" bestFit="1" customWidth="1"/>
    <col min="44" max="45" width="10.88671875" style="11" customWidth="1"/>
    <col min="46" max="46" width="15" style="11" customWidth="1"/>
    <col min="47" max="47" width="9" style="11" customWidth="1"/>
    <col min="48" max="48" width="12.5546875" style="11" customWidth="1"/>
    <col min="49" max="49" width="11.5546875" style="11" customWidth="1"/>
    <col min="50" max="50" width="8.44140625" style="11" customWidth="1"/>
    <col min="51" max="51" width="8.88671875" style="11" bestFit="1" customWidth="1"/>
    <col min="52" max="52" width="11.33203125" style="11" bestFit="1" customWidth="1"/>
    <col min="53" max="53" width="12.5546875" style="11" customWidth="1"/>
    <col min="54" max="54" width="10.44140625" style="11" customWidth="1"/>
    <col min="55" max="55" width="9.44140625" style="11" customWidth="1"/>
    <col min="56" max="56" width="9.109375" style="11" bestFit="1" customWidth="1"/>
    <col min="57" max="57" width="34.33203125" style="11" hidden="1" customWidth="1"/>
    <col min="58" max="58" width="0" style="11" hidden="1" customWidth="1"/>
    <col min="59" max="16384" width="9.109375" style="11"/>
  </cols>
  <sheetData>
    <row r="1" spans="1:58" ht="17.399999999999999" x14ac:dyDescent="0.3">
      <c r="A1" s="5"/>
      <c r="B1" s="5"/>
      <c r="C1" s="6" t="s">
        <v>0</v>
      </c>
      <c r="D1" s="6"/>
      <c r="E1" s="6"/>
      <c r="F1" s="6"/>
      <c r="G1" s="6"/>
      <c r="H1" s="7"/>
      <c r="I1" s="7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8"/>
      <c r="AH1" s="9"/>
      <c r="AI1" s="9"/>
      <c r="AJ1" s="9"/>
      <c r="AK1" s="9"/>
      <c r="AL1" s="9"/>
      <c r="AM1" s="10"/>
      <c r="AN1" s="9"/>
      <c r="AO1" s="9"/>
      <c r="AP1" s="9"/>
      <c r="AQ1" s="9"/>
      <c r="AR1" s="9"/>
      <c r="AS1" s="9"/>
      <c r="AT1" s="9"/>
      <c r="AU1" s="10"/>
      <c r="AV1" s="9"/>
      <c r="AW1" s="9"/>
      <c r="AX1" s="9"/>
      <c r="AY1" s="9"/>
      <c r="AZ1" s="9"/>
      <c r="BA1" s="9"/>
      <c r="BB1" s="9"/>
      <c r="BC1" s="12"/>
      <c r="BD1" s="10"/>
    </row>
    <row r="2" spans="1:58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3"/>
      <c r="AH2" s="14"/>
      <c r="AI2" s="60" t="s">
        <v>1</v>
      </c>
      <c r="AJ2" s="60"/>
      <c r="AK2" s="60"/>
      <c r="AL2" s="60"/>
      <c r="AM2" s="60"/>
      <c r="AN2" s="14"/>
      <c r="AO2" s="56" t="s">
        <v>2</v>
      </c>
      <c r="AP2" s="57"/>
      <c r="AQ2" s="57"/>
      <c r="AR2" s="57"/>
      <c r="AS2" s="57"/>
      <c r="AT2" s="57"/>
      <c r="AU2" s="58"/>
      <c r="AV2" s="14"/>
      <c r="AW2" s="56" t="s">
        <v>3</v>
      </c>
      <c r="AX2" s="59"/>
      <c r="AY2" s="59"/>
      <c r="AZ2" s="59"/>
      <c r="BA2" s="59"/>
      <c r="BB2" s="59"/>
      <c r="BC2" s="59"/>
      <c r="BD2" s="59"/>
    </row>
    <row r="3" spans="1:58" ht="48.75" customHeight="1" x14ac:dyDescent="0.3">
      <c r="A3" s="15" t="s">
        <v>4</v>
      </c>
      <c r="B3" s="15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6" t="s">
        <v>11</v>
      </c>
      <c r="I3" s="16" t="s">
        <v>12</v>
      </c>
      <c r="J3" s="16" t="s">
        <v>13</v>
      </c>
      <c r="K3" s="15" t="s">
        <v>14</v>
      </c>
      <c r="L3" s="15" t="s">
        <v>15</v>
      </c>
      <c r="M3" s="5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17" t="s">
        <v>21</v>
      </c>
      <c r="S3" s="17" t="s">
        <v>22</v>
      </c>
      <c r="T3" s="18" t="s">
        <v>23</v>
      </c>
      <c r="U3" s="18" t="s">
        <v>24</v>
      </c>
      <c r="V3" s="15" t="s">
        <v>25</v>
      </c>
      <c r="W3" s="18" t="s">
        <v>26</v>
      </c>
      <c r="X3" s="18" t="s">
        <v>27</v>
      </c>
      <c r="Y3" s="18" t="s">
        <v>28</v>
      </c>
      <c r="Z3" s="18" t="s">
        <v>29</v>
      </c>
      <c r="AA3" s="18" t="s">
        <v>30</v>
      </c>
      <c r="AB3" s="18" t="s">
        <v>31</v>
      </c>
      <c r="AC3" s="18" t="s">
        <v>32</v>
      </c>
      <c r="AD3" s="18" t="s">
        <v>33</v>
      </c>
      <c r="AE3" s="18" t="s">
        <v>34</v>
      </c>
      <c r="AF3" s="18" t="s">
        <v>35</v>
      </c>
      <c r="AG3" s="15" t="s">
        <v>36</v>
      </c>
      <c r="AH3" s="19"/>
      <c r="AI3" s="1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19"/>
      <c r="AO3" s="18" t="s">
        <v>42</v>
      </c>
      <c r="AP3" s="18" t="s">
        <v>42</v>
      </c>
      <c r="AQ3" s="18" t="s">
        <v>42</v>
      </c>
      <c r="AR3" s="18" t="s">
        <v>42</v>
      </c>
      <c r="AS3" s="3" t="s">
        <v>43</v>
      </c>
      <c r="AT3" s="3" t="s">
        <v>44</v>
      </c>
      <c r="AU3" s="18" t="s">
        <v>41</v>
      </c>
      <c r="AV3" s="19"/>
      <c r="AW3" s="18" t="s">
        <v>45</v>
      </c>
      <c r="AX3" s="18" t="s">
        <v>46</v>
      </c>
      <c r="AY3" s="18" t="s">
        <v>47</v>
      </c>
      <c r="AZ3" s="18" t="s">
        <v>41</v>
      </c>
      <c r="BA3" s="18" t="s">
        <v>48</v>
      </c>
      <c r="BB3" s="18" t="s">
        <v>49</v>
      </c>
      <c r="BC3" s="18" t="s">
        <v>50</v>
      </c>
      <c r="BD3" s="18" t="s">
        <v>51</v>
      </c>
    </row>
    <row r="4" spans="1:58" x14ac:dyDescent="0.3">
      <c r="A4" s="20" t="str">
        <f>rpt_InformeNominaMes!A4</f>
        <v>206860207</v>
      </c>
      <c r="B4" s="38">
        <v>3976</v>
      </c>
      <c r="C4" s="20" t="str">
        <f>rpt_InformeNominaMes!B4</f>
        <v>JOSE ROBERTO AGUILAR BARRANTES</v>
      </c>
      <c r="D4" s="21" t="str">
        <f>+rpt_InformeNominaMes!R4</f>
        <v>11/03/2024</v>
      </c>
      <c r="E4" s="21"/>
      <c r="F4" s="20" t="s">
        <v>52</v>
      </c>
      <c r="G4" s="20" t="s">
        <v>53</v>
      </c>
      <c r="H4" s="22" t="s">
        <v>54</v>
      </c>
      <c r="I4" s="39">
        <v>567</v>
      </c>
      <c r="J4" s="23">
        <v>46143</v>
      </c>
      <c r="K4" s="22" t="s">
        <v>55</v>
      </c>
      <c r="L4" s="40">
        <v>0.27829999999999999</v>
      </c>
      <c r="M4" s="44">
        <f>rpt_InformeNominaMes!T4</f>
        <v>1681000</v>
      </c>
      <c r="N4" s="44">
        <v>0</v>
      </c>
      <c r="O4" s="44">
        <v>0</v>
      </c>
      <c r="P4" s="44">
        <v>0</v>
      </c>
      <c r="Q4" s="44">
        <v>0</v>
      </c>
      <c r="R4" s="44">
        <f>+rpt_InformeNominaMes!Y4</f>
        <v>0</v>
      </c>
      <c r="S4" s="44">
        <f>+rpt_InformeNominaMes!W4</f>
        <v>0</v>
      </c>
      <c r="T4" s="44">
        <v>0</v>
      </c>
      <c r="U4" s="44">
        <f>+rpt_InformeNominaMes!V4</f>
        <v>0</v>
      </c>
      <c r="V4" s="44">
        <v>0</v>
      </c>
      <c r="W4" s="44">
        <v>0</v>
      </c>
      <c r="X4" s="44">
        <f>+rpt_InformeNominaMes!X4</f>
        <v>0</v>
      </c>
      <c r="Y4" s="44">
        <f>+rpt_InformeNominaMes!Z4</f>
        <v>0</v>
      </c>
      <c r="Z4" s="44">
        <v>0</v>
      </c>
      <c r="AA4" s="44">
        <f>+rpt_InformeNominaMes!U4</f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35">
        <f>+SUM($M4:$AF4)</f>
        <v>1681000</v>
      </c>
      <c r="AH4" s="25"/>
      <c r="AI4" s="26">
        <f>rpt_InformeNominaMes!S4</f>
        <v>1681000</v>
      </c>
      <c r="AJ4" s="44">
        <f>+rpt_InformeNominaMes!AE4</f>
        <v>451012.3</v>
      </c>
      <c r="AK4" s="44">
        <f>+rpt_InformeNominaMes!AF4</f>
        <v>16810</v>
      </c>
      <c r="AL4" s="44">
        <f>+rpt_InformeNominaMes!AN4</f>
        <v>140083.33333333334</v>
      </c>
      <c r="AM4" s="35">
        <f>SUM($AJ4:$AL4)</f>
        <v>607905.6333333333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36">
        <f>SUM($AO4:$AT4)</f>
        <v>0</v>
      </c>
      <c r="AV4" s="25"/>
      <c r="AW4" s="26">
        <f>SUM(AG4,AM4,AU4,AY4)</f>
        <v>2299955.6333333333</v>
      </c>
      <c r="AX4" s="26">
        <f>135*BA4</f>
        <v>59670</v>
      </c>
      <c r="AY4" s="26">
        <f>25*BA4</f>
        <v>11050</v>
      </c>
      <c r="AZ4" s="26">
        <f>AW4+AX4</f>
        <v>2359625.6333333333</v>
      </c>
      <c r="BA4" s="26">
        <v>442</v>
      </c>
      <c r="BB4" s="27">
        <f>ROUND($AW4/$BA4,2)</f>
        <v>5203.5200000000004</v>
      </c>
      <c r="BC4" s="27">
        <f>+AX4/BA4</f>
        <v>135</v>
      </c>
      <c r="BD4" s="27">
        <f>SUM($BB4:$BC4)</f>
        <v>5338.52</v>
      </c>
      <c r="BE4" s="29" t="str">
        <f>VLOOKUP(A4,rpt_InformeNominaMes!A$4:E$16,5,0)</f>
        <v>ANGL RF</v>
      </c>
      <c r="BF4" s="11">
        <v>135</v>
      </c>
    </row>
    <row r="5" spans="1:58" x14ac:dyDescent="0.3">
      <c r="A5" s="20" t="str">
        <f>rpt_InformeNominaMes!A5</f>
        <v>112280205</v>
      </c>
      <c r="B5" s="38">
        <v>2461</v>
      </c>
      <c r="C5" s="20" t="str">
        <f>rpt_InformeNominaMes!B5</f>
        <v>TATIANA ARAYA POCHET</v>
      </c>
      <c r="D5" s="21" t="str">
        <f>+rpt_InformeNominaMes!R5</f>
        <v>17/08/2023</v>
      </c>
      <c r="E5" s="21"/>
      <c r="F5" s="20" t="s">
        <v>52</v>
      </c>
      <c r="G5" s="20" t="s">
        <v>53</v>
      </c>
      <c r="H5" s="22" t="s">
        <v>56</v>
      </c>
      <c r="I5" s="39">
        <v>635</v>
      </c>
      <c r="J5" s="23">
        <v>46143</v>
      </c>
      <c r="K5" s="22" t="s">
        <v>55</v>
      </c>
      <c r="L5" s="40">
        <v>0.27829999999999999</v>
      </c>
      <c r="M5" s="44">
        <f>rpt_InformeNominaMes!T5</f>
        <v>8823</v>
      </c>
      <c r="N5" s="44">
        <v>0</v>
      </c>
      <c r="O5" s="44">
        <v>0</v>
      </c>
      <c r="P5" s="44">
        <v>0</v>
      </c>
      <c r="Q5" s="44">
        <v>0</v>
      </c>
      <c r="R5" s="44">
        <f>+rpt_InformeNominaMes!Y5</f>
        <v>0</v>
      </c>
      <c r="S5" s="44">
        <f>+rpt_InformeNominaMes!W5</f>
        <v>0</v>
      </c>
      <c r="T5" s="44">
        <v>0</v>
      </c>
      <c r="U5" s="44">
        <f>+rpt_InformeNominaMes!V5</f>
        <v>0</v>
      </c>
      <c r="V5" s="44">
        <v>0</v>
      </c>
      <c r="W5" s="44">
        <v>0</v>
      </c>
      <c r="X5" s="44">
        <f>+rpt_InformeNominaMes!X5</f>
        <v>0</v>
      </c>
      <c r="Y5" s="44">
        <f>+rpt_InformeNominaMes!Z5</f>
        <v>0</v>
      </c>
      <c r="Z5" s="44">
        <v>0</v>
      </c>
      <c r="AA5" s="44">
        <f>+rpt_InformeNominaMes!U5</f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35">
        <f t="shared" ref="AG5:AG16" si="0">+SUM($M5:$AF5)</f>
        <v>8823</v>
      </c>
      <c r="AH5" s="25"/>
      <c r="AI5" s="26">
        <f>rpt_InformeNominaMes!S5</f>
        <v>8823</v>
      </c>
      <c r="AJ5" s="44">
        <f>+rpt_InformeNominaMes!AE5</f>
        <v>2367.21</v>
      </c>
      <c r="AK5" s="44">
        <f>+rpt_InformeNominaMes!AF5</f>
        <v>88.23</v>
      </c>
      <c r="AL5" s="44">
        <f>+rpt_InformeNominaMes!AN5</f>
        <v>735.25</v>
      </c>
      <c r="AM5" s="35">
        <f t="shared" ref="AM5:AM16" si="1">SUM($AJ5:$AL5)</f>
        <v>3190.69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36">
        <f t="shared" ref="AU5:AU16" si="2">SUM($AO5:$AT5)</f>
        <v>0</v>
      </c>
      <c r="AV5" s="25"/>
      <c r="AW5" s="26">
        <f t="shared" ref="AW5:AW16" si="3">SUM(AG5,AM5,AU5,AY5)</f>
        <v>12038.69</v>
      </c>
      <c r="AX5" s="26">
        <v>135</v>
      </c>
      <c r="AY5" s="26">
        <f t="shared" ref="AY5:AY16" si="4">25*BA5</f>
        <v>25</v>
      </c>
      <c r="AZ5" s="26">
        <f t="shared" ref="AZ5:AZ16" si="5">AW5+AX5</f>
        <v>12173.69</v>
      </c>
      <c r="BA5" s="26">
        <v>1</v>
      </c>
      <c r="BB5" s="27">
        <f t="shared" ref="BB5:BB16" si="6">ROUND($AW5/$BA5,2)</f>
        <v>12038.69</v>
      </c>
      <c r="BC5" s="27">
        <f t="shared" ref="BC5:BC16" si="7">+AX5/BA5</f>
        <v>135</v>
      </c>
      <c r="BD5" s="27">
        <f t="shared" ref="BD5:BD16" si="8">SUM($BB5:$BC5)</f>
        <v>12173.69</v>
      </c>
      <c r="BE5" s="29" t="str">
        <f>VLOOKUP(A5,rpt_InformeNominaMes!A$4:E$16,5,0)</f>
        <v>CZARNIKOW</v>
      </c>
      <c r="BF5" s="11">
        <v>135</v>
      </c>
    </row>
    <row r="6" spans="1:58" x14ac:dyDescent="0.3">
      <c r="A6" s="20" t="str">
        <f>rpt_InformeNominaMes!A6</f>
        <v>207170459</v>
      </c>
      <c r="B6" s="38">
        <v>4438</v>
      </c>
      <c r="C6" s="20" t="str">
        <f>rpt_InformeNominaMes!B6</f>
        <v>SHERYL GERTRUDIS CAMBRONERO ESTRADA</v>
      </c>
      <c r="D6" s="21" t="str">
        <f>+rpt_InformeNominaMes!R6</f>
        <v>01/05/2024</v>
      </c>
      <c r="E6" s="21"/>
      <c r="F6" s="20" t="s">
        <v>52</v>
      </c>
      <c r="G6" s="20" t="s">
        <v>53</v>
      </c>
      <c r="H6" s="22" t="s">
        <v>57</v>
      </c>
      <c r="I6" s="39">
        <v>1352</v>
      </c>
      <c r="J6" s="23">
        <v>46143</v>
      </c>
      <c r="K6" s="22" t="s">
        <v>55</v>
      </c>
      <c r="L6" s="40">
        <v>0.27829999999999999</v>
      </c>
      <c r="M6" s="44">
        <f>rpt_InformeNominaMes!T6</f>
        <v>880501</v>
      </c>
      <c r="N6" s="44">
        <v>0</v>
      </c>
      <c r="O6" s="44">
        <v>0</v>
      </c>
      <c r="P6" s="44">
        <v>0</v>
      </c>
      <c r="Q6" s="44">
        <v>0</v>
      </c>
      <c r="R6" s="44">
        <f>+rpt_InformeNominaMes!Y6</f>
        <v>0</v>
      </c>
      <c r="S6" s="44">
        <f>+rpt_InformeNominaMes!W6</f>
        <v>0</v>
      </c>
      <c r="T6" s="44">
        <v>0</v>
      </c>
      <c r="U6" s="44">
        <f>+rpt_InformeNominaMes!V6</f>
        <v>0</v>
      </c>
      <c r="V6" s="44">
        <v>0</v>
      </c>
      <c r="W6" s="44">
        <v>0</v>
      </c>
      <c r="X6" s="44">
        <f>+rpt_InformeNominaMes!X6</f>
        <v>0</v>
      </c>
      <c r="Y6" s="44">
        <f>+rpt_InformeNominaMes!Z6</f>
        <v>0</v>
      </c>
      <c r="Z6" s="44">
        <v>0</v>
      </c>
      <c r="AA6" s="44">
        <f>+rpt_InformeNominaMes!U6</f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35">
        <f t="shared" si="0"/>
        <v>880501</v>
      </c>
      <c r="AH6" s="25"/>
      <c r="AI6" s="26">
        <f>rpt_InformeNominaMes!S6</f>
        <v>880501</v>
      </c>
      <c r="AJ6" s="44">
        <f>+rpt_InformeNominaMes!AE6</f>
        <v>236238.42</v>
      </c>
      <c r="AK6" s="44">
        <f>+rpt_InformeNominaMes!AF6</f>
        <v>8805.01</v>
      </c>
      <c r="AL6" s="44">
        <f>+rpt_InformeNominaMes!AN6</f>
        <v>73375.083333333328</v>
      </c>
      <c r="AM6" s="35">
        <f t="shared" si="1"/>
        <v>318418.51333333337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36">
        <f t="shared" si="2"/>
        <v>0</v>
      </c>
      <c r="AV6" s="25"/>
      <c r="AW6" s="26">
        <f t="shared" si="3"/>
        <v>1209969.5133333334</v>
      </c>
      <c r="AX6" s="26">
        <f t="shared" ref="AX6:AX8" si="9">135*BA6</f>
        <v>59670</v>
      </c>
      <c r="AY6" s="26">
        <f t="shared" ref="AY6" si="10">25*BA6</f>
        <v>11050</v>
      </c>
      <c r="AZ6" s="26">
        <f t="shared" ref="AZ6" si="11">AW6+AX6</f>
        <v>1269639.5133333334</v>
      </c>
      <c r="BA6" s="26">
        <v>442</v>
      </c>
      <c r="BB6" s="27">
        <f t="shared" si="6"/>
        <v>2737.49</v>
      </c>
      <c r="BC6" s="27">
        <f t="shared" ref="BC6" si="12">+AX6/BA6</f>
        <v>135</v>
      </c>
      <c r="BD6" s="27">
        <f t="shared" si="8"/>
        <v>2872.49</v>
      </c>
      <c r="BE6" s="29" t="str">
        <f>VLOOKUP(A6,rpt_InformeNominaMes!A$4:E$16,5,0)</f>
        <v>FLORES &amp; PELAEZ-PRADA PLLC</v>
      </c>
      <c r="BF6" s="11">
        <v>135</v>
      </c>
    </row>
    <row r="7" spans="1:58" x14ac:dyDescent="0.3">
      <c r="A7" s="20" t="str">
        <f>rpt_InformeNominaMes!A7</f>
        <v>118530679</v>
      </c>
      <c r="B7" s="38">
        <v>0</v>
      </c>
      <c r="C7" s="20" t="str">
        <f>rpt_InformeNominaMes!B7</f>
        <v>YILLARY KARINA ELLIS PETERS</v>
      </c>
      <c r="D7" s="21" t="str">
        <f>+rpt_InformeNominaMes!R7</f>
        <v>16/02/2026</v>
      </c>
      <c r="E7" s="21"/>
      <c r="F7" s="20" t="s">
        <v>52</v>
      </c>
      <c r="G7" s="20" t="s">
        <v>53</v>
      </c>
      <c r="H7" s="22" t="s">
        <v>208</v>
      </c>
      <c r="I7" s="39">
        <v>0</v>
      </c>
      <c r="J7" s="23">
        <v>46143</v>
      </c>
      <c r="K7" s="22" t="s">
        <v>55</v>
      </c>
      <c r="L7" s="40">
        <v>0.27829999999999999</v>
      </c>
      <c r="M7" s="44">
        <f>rpt_InformeNominaMes!T7</f>
        <v>878400</v>
      </c>
      <c r="N7" s="44">
        <v>0</v>
      </c>
      <c r="O7" s="44">
        <v>0</v>
      </c>
      <c r="P7" s="44">
        <v>0</v>
      </c>
      <c r="Q7" s="44">
        <v>0</v>
      </c>
      <c r="R7" s="44">
        <f>+rpt_InformeNominaMes!Y7</f>
        <v>0</v>
      </c>
      <c r="S7" s="44">
        <f>+rpt_InformeNominaMes!W7</f>
        <v>0</v>
      </c>
      <c r="T7" s="44">
        <v>0</v>
      </c>
      <c r="U7" s="44">
        <f>+rpt_InformeNominaMes!V7</f>
        <v>0</v>
      </c>
      <c r="V7" s="44">
        <v>0</v>
      </c>
      <c r="W7" s="44">
        <v>0</v>
      </c>
      <c r="X7" s="44">
        <f>+rpt_InformeNominaMes!X7</f>
        <v>0</v>
      </c>
      <c r="Y7" s="44">
        <f>+rpt_InformeNominaMes!Z7</f>
        <v>0</v>
      </c>
      <c r="Z7" s="44">
        <v>0</v>
      </c>
      <c r="AA7" s="44">
        <f>+rpt_InformeNominaMes!U7</f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35">
        <f t="shared" si="0"/>
        <v>878400</v>
      </c>
      <c r="AH7" s="25"/>
      <c r="AI7" s="26">
        <f>rpt_InformeNominaMes!S7</f>
        <v>878400</v>
      </c>
      <c r="AJ7" s="44">
        <f>+rpt_InformeNominaMes!AE7</f>
        <v>235674.72</v>
      </c>
      <c r="AK7" s="44">
        <f>+rpt_InformeNominaMes!AF7</f>
        <v>8784</v>
      </c>
      <c r="AL7" s="44">
        <f>+rpt_InformeNominaMes!AN7</f>
        <v>73200</v>
      </c>
      <c r="AM7" s="35">
        <f t="shared" si="1"/>
        <v>317658.71999999997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36">
        <f t="shared" si="2"/>
        <v>0</v>
      </c>
      <c r="AV7" s="25"/>
      <c r="AW7" s="26">
        <f t="shared" si="3"/>
        <v>1207108.72</v>
      </c>
      <c r="AX7" s="26">
        <f t="shared" si="9"/>
        <v>59670</v>
      </c>
      <c r="AY7" s="26">
        <f t="shared" ref="AY7" si="13">25*BA7</f>
        <v>11050</v>
      </c>
      <c r="AZ7" s="26">
        <f t="shared" ref="AZ7" si="14">AW7+AX7</f>
        <v>1266778.72</v>
      </c>
      <c r="BA7" s="26">
        <v>442</v>
      </c>
      <c r="BB7" s="27">
        <f t="shared" si="6"/>
        <v>2731.02</v>
      </c>
      <c r="BC7" s="27">
        <f t="shared" ref="BC7" si="15">+AX7/BA7</f>
        <v>135</v>
      </c>
      <c r="BD7" s="27">
        <f t="shared" si="8"/>
        <v>2866.02</v>
      </c>
      <c r="BE7" s="29" t="str">
        <f>VLOOKUP(A7,rpt_InformeNominaMes!A$4:E$16,5,0)</f>
        <v>UPTOWN MOOSE LLC (RF)</v>
      </c>
      <c r="BF7" s="11">
        <v>135</v>
      </c>
    </row>
    <row r="8" spans="1:58" x14ac:dyDescent="0.3">
      <c r="A8" s="20" t="str">
        <f>rpt_InformeNominaMes!A8</f>
        <v>112850849</v>
      </c>
      <c r="B8" s="38">
        <v>7709</v>
      </c>
      <c r="C8" s="20" t="str">
        <f>rpt_InformeNominaMes!B8</f>
        <v>BERNAL FALLAS BARBOZA</v>
      </c>
      <c r="D8" s="21" t="str">
        <f>+rpt_InformeNominaMes!R8</f>
        <v>01/03/2025</v>
      </c>
      <c r="E8" s="21"/>
      <c r="F8" s="20" t="s">
        <v>52</v>
      </c>
      <c r="G8" s="20" t="s">
        <v>53</v>
      </c>
      <c r="H8" s="22" t="s">
        <v>58</v>
      </c>
      <c r="I8" s="39">
        <v>2119</v>
      </c>
      <c r="J8" s="23">
        <v>46143</v>
      </c>
      <c r="K8" s="22" t="s">
        <v>55</v>
      </c>
      <c r="L8" s="40">
        <v>0.27829999999999999</v>
      </c>
      <c r="M8" s="44">
        <f>rpt_InformeNominaMes!T8</f>
        <v>6500</v>
      </c>
      <c r="N8" s="44">
        <v>0</v>
      </c>
      <c r="O8" s="44">
        <v>0</v>
      </c>
      <c r="P8" s="44">
        <v>0</v>
      </c>
      <c r="Q8" s="44">
        <v>0</v>
      </c>
      <c r="R8" s="44">
        <f>+rpt_InformeNominaMes!Y8</f>
        <v>0</v>
      </c>
      <c r="S8" s="44">
        <f>+rpt_InformeNominaMes!W8</f>
        <v>0</v>
      </c>
      <c r="T8" s="44">
        <v>0</v>
      </c>
      <c r="U8" s="44">
        <f>+rpt_InformeNominaMes!V8</f>
        <v>0</v>
      </c>
      <c r="V8" s="44">
        <v>0</v>
      </c>
      <c r="W8" s="44">
        <v>0</v>
      </c>
      <c r="X8" s="44">
        <f>+rpt_InformeNominaMes!X8</f>
        <v>0</v>
      </c>
      <c r="Y8" s="44">
        <f>+rpt_InformeNominaMes!Z8</f>
        <v>0</v>
      </c>
      <c r="Z8" s="44">
        <v>0</v>
      </c>
      <c r="AA8" s="44">
        <f>+rpt_InformeNominaMes!U8</f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35">
        <f t="shared" si="0"/>
        <v>6500</v>
      </c>
      <c r="AH8" s="25"/>
      <c r="AI8" s="26">
        <f>rpt_InformeNominaMes!S8</f>
        <v>6500</v>
      </c>
      <c r="AJ8" s="44">
        <f>+rpt_InformeNominaMes!AE8</f>
        <v>1743.95</v>
      </c>
      <c r="AK8" s="44">
        <f>+rpt_InformeNominaMes!AF8</f>
        <v>65</v>
      </c>
      <c r="AL8" s="44">
        <f>+rpt_InformeNominaMes!AN8</f>
        <v>541.66666666666663</v>
      </c>
      <c r="AM8" s="35">
        <f t="shared" si="1"/>
        <v>2350.6166666666668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36">
        <f t="shared" si="2"/>
        <v>0</v>
      </c>
      <c r="AV8" s="25"/>
      <c r="AW8" s="26">
        <f t="shared" si="3"/>
        <v>8875.6166666666668</v>
      </c>
      <c r="AX8" s="26">
        <f t="shared" si="9"/>
        <v>135</v>
      </c>
      <c r="AY8" s="26">
        <f t="shared" si="4"/>
        <v>25</v>
      </c>
      <c r="AZ8" s="26">
        <f t="shared" si="5"/>
        <v>9010.6166666666668</v>
      </c>
      <c r="BA8" s="26">
        <v>1</v>
      </c>
      <c r="BB8" s="27">
        <f t="shared" si="6"/>
        <v>8875.6200000000008</v>
      </c>
      <c r="BC8" s="27">
        <f t="shared" si="7"/>
        <v>135</v>
      </c>
      <c r="BD8" s="27">
        <f t="shared" si="8"/>
        <v>9010.6200000000008</v>
      </c>
      <c r="BE8" s="29" t="str">
        <f>VLOOKUP(A8,rpt_InformeNominaMes!A$4:E$16,5,0)</f>
        <v xml:space="preserve">REMOFIRST - BERKHEIMER ENTERPRISES LLC </v>
      </c>
      <c r="BF8" s="11">
        <v>135</v>
      </c>
    </row>
    <row r="9" spans="1:58" x14ac:dyDescent="0.3">
      <c r="A9" s="20" t="str">
        <f>rpt_InformeNominaMes!A9</f>
        <v>114860203</v>
      </c>
      <c r="B9" s="38">
        <v>2114</v>
      </c>
      <c r="C9" s="20" t="str">
        <f>rpt_InformeNominaMes!B9</f>
        <v>PRISCILLA GRACE POLSON GIESBRECHT</v>
      </c>
      <c r="D9" s="21" t="str">
        <f>+rpt_InformeNominaMes!R9</f>
        <v>16/06/2023</v>
      </c>
      <c r="E9" s="21"/>
      <c r="F9" s="20" t="s">
        <v>52</v>
      </c>
      <c r="G9" s="20" t="s">
        <v>53</v>
      </c>
      <c r="H9" s="22" t="s">
        <v>54</v>
      </c>
      <c r="I9" s="39">
        <v>567</v>
      </c>
      <c r="J9" s="23">
        <v>46143</v>
      </c>
      <c r="K9" s="22" t="s">
        <v>55</v>
      </c>
      <c r="L9" s="40">
        <v>0.27829999999999999</v>
      </c>
      <c r="M9" s="44">
        <f>rpt_InformeNominaMes!T9</f>
        <v>1681000</v>
      </c>
      <c r="N9" s="44">
        <v>0</v>
      </c>
      <c r="O9" s="44">
        <v>0</v>
      </c>
      <c r="P9" s="44">
        <v>0</v>
      </c>
      <c r="Q9" s="44">
        <v>0</v>
      </c>
      <c r="R9" s="44">
        <f>+rpt_InformeNominaMes!Y9</f>
        <v>0</v>
      </c>
      <c r="S9" s="44">
        <f>+rpt_InformeNominaMes!W9</f>
        <v>0</v>
      </c>
      <c r="T9" s="44">
        <v>0</v>
      </c>
      <c r="U9" s="44">
        <f>+rpt_InformeNominaMes!V9</f>
        <v>0</v>
      </c>
      <c r="V9" s="44">
        <v>0</v>
      </c>
      <c r="W9" s="44">
        <v>0</v>
      </c>
      <c r="X9" s="44">
        <f>+rpt_InformeNominaMes!X9</f>
        <v>0</v>
      </c>
      <c r="Y9" s="44">
        <f>+rpt_InformeNominaMes!Z9</f>
        <v>0</v>
      </c>
      <c r="Z9" s="44">
        <v>0</v>
      </c>
      <c r="AA9" s="44">
        <f>+rpt_InformeNominaMes!U9</f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35">
        <f>+SUM($M9:$AF9)</f>
        <v>1681000</v>
      </c>
      <c r="AH9" s="25"/>
      <c r="AI9" s="26">
        <f>rpt_InformeNominaMes!S9</f>
        <v>1681000</v>
      </c>
      <c r="AJ9" s="44">
        <f>+rpt_InformeNominaMes!AE9</f>
        <v>451012.3</v>
      </c>
      <c r="AK9" s="44">
        <f>+rpt_InformeNominaMes!AF9</f>
        <v>16810</v>
      </c>
      <c r="AL9" s="44">
        <f>+rpt_InformeNominaMes!AN9</f>
        <v>140083.33333333334</v>
      </c>
      <c r="AM9" s="35">
        <f t="shared" si="1"/>
        <v>607905.6333333333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36">
        <f t="shared" si="2"/>
        <v>0</v>
      </c>
      <c r="AV9" s="25"/>
      <c r="AW9" s="26">
        <f t="shared" si="3"/>
        <v>2299955.6333333333</v>
      </c>
      <c r="AX9" s="26">
        <f>135*BA9</f>
        <v>59670</v>
      </c>
      <c r="AY9" s="26">
        <f t="shared" si="4"/>
        <v>11050</v>
      </c>
      <c r="AZ9" s="26">
        <f t="shared" si="5"/>
        <v>2359625.6333333333</v>
      </c>
      <c r="BA9" s="26">
        <v>442</v>
      </c>
      <c r="BB9" s="27">
        <f t="shared" si="6"/>
        <v>5203.5200000000004</v>
      </c>
      <c r="BC9" s="27">
        <f t="shared" si="7"/>
        <v>135</v>
      </c>
      <c r="BD9" s="27">
        <f t="shared" si="8"/>
        <v>5338.52</v>
      </c>
      <c r="BE9" s="29" t="str">
        <f>VLOOKUP(A9,rpt_InformeNominaMes!A$4:E$16,5,0)</f>
        <v>ANGL RF</v>
      </c>
      <c r="BF9" s="11">
        <v>135</v>
      </c>
    </row>
    <row r="10" spans="1:58" x14ac:dyDescent="0.3">
      <c r="A10" s="20" t="str">
        <f>rpt_InformeNominaMes!A10</f>
        <v>503990169</v>
      </c>
      <c r="B10" s="38">
        <v>2084</v>
      </c>
      <c r="C10" s="20" t="str">
        <f>rpt_InformeNominaMes!B10</f>
        <v>JONATHAN ALONSO SALAZAR GARCIA</v>
      </c>
      <c r="D10" s="21" t="str">
        <f>+rpt_InformeNominaMes!R10</f>
        <v>21/05/2023</v>
      </c>
      <c r="E10" s="21"/>
      <c r="F10" s="20" t="s">
        <v>52</v>
      </c>
      <c r="G10" s="20" t="s">
        <v>53</v>
      </c>
      <c r="H10" s="22" t="s">
        <v>59</v>
      </c>
      <c r="I10" s="39">
        <v>563</v>
      </c>
      <c r="J10" s="23">
        <v>46143</v>
      </c>
      <c r="K10" s="22" t="s">
        <v>55</v>
      </c>
      <c r="L10" s="40">
        <v>0.27829999999999999</v>
      </c>
      <c r="M10" s="44">
        <f>rpt_InformeNominaMes!T10</f>
        <v>4167</v>
      </c>
      <c r="N10" s="44">
        <v>0</v>
      </c>
      <c r="O10" s="44">
        <v>0</v>
      </c>
      <c r="P10" s="44">
        <v>0</v>
      </c>
      <c r="Q10" s="44">
        <v>0</v>
      </c>
      <c r="R10" s="44">
        <f>+rpt_InformeNominaMes!Y10</f>
        <v>0</v>
      </c>
      <c r="S10" s="44">
        <f>+rpt_InformeNominaMes!W10</f>
        <v>0</v>
      </c>
      <c r="T10" s="44">
        <v>0</v>
      </c>
      <c r="U10" s="44">
        <f>+rpt_InformeNominaMes!V10</f>
        <v>0</v>
      </c>
      <c r="V10" s="44">
        <v>0</v>
      </c>
      <c r="W10" s="44">
        <v>0</v>
      </c>
      <c r="X10" s="44">
        <f>+rpt_InformeNominaMes!X10</f>
        <v>0</v>
      </c>
      <c r="Y10" s="44">
        <f>+rpt_InformeNominaMes!Z10</f>
        <v>0</v>
      </c>
      <c r="Z10" s="44">
        <v>0</v>
      </c>
      <c r="AA10" s="44">
        <f>+rpt_InformeNominaMes!U10</f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35">
        <f t="shared" si="0"/>
        <v>4167</v>
      </c>
      <c r="AH10" s="25"/>
      <c r="AI10" s="26">
        <f>rpt_InformeNominaMes!S10</f>
        <v>4167</v>
      </c>
      <c r="AJ10" s="44">
        <f>+rpt_InformeNominaMes!AE10</f>
        <v>1118.01</v>
      </c>
      <c r="AK10" s="44">
        <f>+rpt_InformeNominaMes!AF10</f>
        <v>41.67</v>
      </c>
      <c r="AL10" s="44">
        <f>+rpt_InformeNominaMes!AN10</f>
        <v>347.25</v>
      </c>
      <c r="AM10" s="35">
        <f t="shared" si="1"/>
        <v>1506.93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36">
        <f t="shared" si="2"/>
        <v>0</v>
      </c>
      <c r="AV10" s="25"/>
      <c r="AW10" s="26">
        <f t="shared" si="3"/>
        <v>5698.93</v>
      </c>
      <c r="AX10" s="26">
        <v>135</v>
      </c>
      <c r="AY10" s="26">
        <f t="shared" si="4"/>
        <v>25</v>
      </c>
      <c r="AZ10" s="26">
        <f t="shared" si="5"/>
        <v>5833.93</v>
      </c>
      <c r="BA10" s="26">
        <v>1</v>
      </c>
      <c r="BB10" s="27">
        <f t="shared" si="6"/>
        <v>5698.93</v>
      </c>
      <c r="BC10" s="27">
        <f t="shared" si="7"/>
        <v>135</v>
      </c>
      <c r="BD10" s="27">
        <f t="shared" si="8"/>
        <v>5833.93</v>
      </c>
      <c r="BE10" s="29" t="str">
        <f>VLOOKUP(A10,rpt_InformeNominaMes!A$4:E$16,5,0)</f>
        <v xml:space="preserve"> SSS - RF</v>
      </c>
      <c r="BF10" s="11">
        <v>135</v>
      </c>
    </row>
    <row r="11" spans="1:58" x14ac:dyDescent="0.3">
      <c r="A11" s="20" t="str">
        <f>rpt_InformeNominaMes!A11</f>
        <v>117030514</v>
      </c>
      <c r="B11" s="38">
        <v>0</v>
      </c>
      <c r="C11" s="20" t="str">
        <f>rpt_InformeNominaMes!B11</f>
        <v>VIRGINIA PAOLA SALAZAR HERNANDEZ</v>
      </c>
      <c r="D11" s="21" t="str">
        <f>+rpt_InformeNominaMes!R11</f>
        <v>25/02/2026</v>
      </c>
      <c r="E11" s="21"/>
      <c r="F11" s="20" t="s">
        <v>52</v>
      </c>
      <c r="G11" s="20" t="s">
        <v>53</v>
      </c>
      <c r="H11" s="22" t="s">
        <v>210</v>
      </c>
      <c r="I11" s="39">
        <v>0</v>
      </c>
      <c r="J11" s="23">
        <v>46143</v>
      </c>
      <c r="K11" s="22" t="s">
        <v>55</v>
      </c>
      <c r="L11" s="40">
        <v>0.27829999999999999</v>
      </c>
      <c r="M11" s="44">
        <f>rpt_InformeNominaMes!T11</f>
        <v>1250000</v>
      </c>
      <c r="N11" s="44">
        <v>0</v>
      </c>
      <c r="O11" s="44">
        <v>0</v>
      </c>
      <c r="P11" s="44">
        <v>0</v>
      </c>
      <c r="Q11" s="44">
        <v>0</v>
      </c>
      <c r="R11" s="44">
        <f>+rpt_InformeNominaMes!Y11</f>
        <v>0</v>
      </c>
      <c r="S11" s="44">
        <f>+rpt_InformeNominaMes!W11</f>
        <v>0</v>
      </c>
      <c r="T11" s="44">
        <v>0</v>
      </c>
      <c r="U11" s="44">
        <f>+rpt_InformeNominaMes!V11</f>
        <v>0</v>
      </c>
      <c r="V11" s="44">
        <v>0</v>
      </c>
      <c r="W11" s="44">
        <v>0</v>
      </c>
      <c r="X11" s="44">
        <f>+rpt_InformeNominaMes!X11</f>
        <v>0</v>
      </c>
      <c r="Y11" s="44">
        <f>+rpt_InformeNominaMes!Z11</f>
        <v>0</v>
      </c>
      <c r="Z11" s="44">
        <v>0</v>
      </c>
      <c r="AA11" s="44">
        <f>+rpt_InformeNominaMes!U11</f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35">
        <f t="shared" si="0"/>
        <v>1250000</v>
      </c>
      <c r="AH11" s="25"/>
      <c r="AI11" s="26">
        <f>rpt_InformeNominaMes!S11</f>
        <v>1250000</v>
      </c>
      <c r="AJ11" s="44">
        <f>+rpt_InformeNominaMes!AE11</f>
        <v>335375</v>
      </c>
      <c r="AK11" s="44">
        <f>+rpt_InformeNominaMes!AF11</f>
        <v>12500</v>
      </c>
      <c r="AL11" s="44">
        <f>+rpt_InformeNominaMes!AN11</f>
        <v>104166.66666666667</v>
      </c>
      <c r="AM11" s="35">
        <f t="shared" si="1"/>
        <v>452041.66666666669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36">
        <f t="shared" si="2"/>
        <v>0</v>
      </c>
      <c r="AV11" s="25"/>
      <c r="AW11" s="26">
        <f t="shared" si="3"/>
        <v>1713091.6666666667</v>
      </c>
      <c r="AX11" s="26">
        <f>135*BA11</f>
        <v>59670</v>
      </c>
      <c r="AY11" s="26">
        <f t="shared" si="4"/>
        <v>11050</v>
      </c>
      <c r="AZ11" s="26">
        <f t="shared" si="5"/>
        <v>1772761.6666666667</v>
      </c>
      <c r="BA11" s="26">
        <v>442</v>
      </c>
      <c r="BB11" s="27">
        <f t="shared" si="6"/>
        <v>3875.77</v>
      </c>
      <c r="BC11" s="27">
        <f t="shared" si="7"/>
        <v>135</v>
      </c>
      <c r="BD11" s="27">
        <f t="shared" si="8"/>
        <v>4010.77</v>
      </c>
      <c r="BE11" s="29" t="str">
        <f>VLOOKUP(A11,rpt_InformeNominaMes!A$4:E$16,5,0)</f>
        <v>SUOL INNOVATIONS LTD (RF)</v>
      </c>
      <c r="BF11" s="11">
        <v>135</v>
      </c>
    </row>
    <row r="12" spans="1:58" x14ac:dyDescent="0.3">
      <c r="A12" s="20" t="str">
        <f>rpt_InformeNominaMes!A12</f>
        <v>115630104</v>
      </c>
      <c r="B12" s="38">
        <v>10540</v>
      </c>
      <c r="C12" s="20" t="str">
        <f>rpt_InformeNominaMes!B12</f>
        <v>GILBERTO ESTEBAN SOLANO MENDEZ</v>
      </c>
      <c r="D12" s="21" t="str">
        <f>+rpt_InformeNominaMes!R12</f>
        <v>01/07/2025</v>
      </c>
      <c r="E12" s="21"/>
      <c r="F12" s="20" t="s">
        <v>52</v>
      </c>
      <c r="G12" s="20" t="s">
        <v>53</v>
      </c>
      <c r="H12" s="22" t="s">
        <v>58</v>
      </c>
      <c r="I12" s="39">
        <v>2119</v>
      </c>
      <c r="J12" s="23">
        <v>46143</v>
      </c>
      <c r="K12" s="22" t="s">
        <v>55</v>
      </c>
      <c r="L12" s="40">
        <v>0.27829999999999999</v>
      </c>
      <c r="M12" s="44">
        <f>rpt_InformeNominaMes!T12</f>
        <v>2540768</v>
      </c>
      <c r="N12" s="44">
        <v>0</v>
      </c>
      <c r="O12" s="44">
        <v>0</v>
      </c>
      <c r="P12" s="44">
        <v>0</v>
      </c>
      <c r="Q12" s="44">
        <v>0</v>
      </c>
      <c r="R12" s="44">
        <f>+rpt_InformeNominaMes!Y12</f>
        <v>0</v>
      </c>
      <c r="S12" s="44">
        <f>+rpt_InformeNominaMes!W12</f>
        <v>0</v>
      </c>
      <c r="T12" s="44">
        <v>0</v>
      </c>
      <c r="U12" s="44">
        <f>+rpt_InformeNominaMes!V12</f>
        <v>0</v>
      </c>
      <c r="V12" s="44">
        <v>0</v>
      </c>
      <c r="W12" s="44">
        <v>0</v>
      </c>
      <c r="X12" s="44">
        <f>+rpt_InformeNominaMes!X12</f>
        <v>0</v>
      </c>
      <c r="Y12" s="44">
        <f>+rpt_InformeNominaMes!Z12</f>
        <v>0</v>
      </c>
      <c r="Z12" s="44">
        <v>0</v>
      </c>
      <c r="AA12" s="44">
        <f>+rpt_InformeNominaMes!U12</f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35">
        <f t="shared" si="0"/>
        <v>2540768</v>
      </c>
      <c r="AH12" s="25"/>
      <c r="AI12" s="26">
        <f>rpt_InformeNominaMes!S12</f>
        <v>2540768</v>
      </c>
      <c r="AJ12" s="44">
        <f>+rpt_InformeNominaMes!AE12</f>
        <v>681688.05</v>
      </c>
      <c r="AK12" s="44">
        <f>+rpt_InformeNominaMes!AF12</f>
        <v>25407.68</v>
      </c>
      <c r="AL12" s="44">
        <f>+rpt_InformeNominaMes!AN12</f>
        <v>211730.66666666666</v>
      </c>
      <c r="AM12" s="35">
        <f t="shared" si="1"/>
        <v>918826.39666666673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36">
        <f t="shared" si="2"/>
        <v>0</v>
      </c>
      <c r="AV12" s="25"/>
      <c r="AW12" s="26">
        <f t="shared" si="3"/>
        <v>3470644.3966666665</v>
      </c>
      <c r="AX12" s="26">
        <f>135*BA12</f>
        <v>59670</v>
      </c>
      <c r="AY12" s="26">
        <f t="shared" si="4"/>
        <v>11050</v>
      </c>
      <c r="AZ12" s="26">
        <f t="shared" si="5"/>
        <v>3530314.3966666665</v>
      </c>
      <c r="BA12" s="26">
        <v>442</v>
      </c>
      <c r="BB12" s="27">
        <f t="shared" si="6"/>
        <v>7852.14</v>
      </c>
      <c r="BC12" s="27">
        <f t="shared" si="7"/>
        <v>135</v>
      </c>
      <c r="BD12" s="27">
        <f t="shared" si="8"/>
        <v>7987.14</v>
      </c>
      <c r="BE12" s="29" t="str">
        <f>VLOOKUP(A12,rpt_InformeNominaMes!A$4:E$16,5,0)</f>
        <v xml:space="preserve">REMOFIRST - BERKHEIMER ENTERPRISES LLC </v>
      </c>
      <c r="BF12" s="11">
        <v>135</v>
      </c>
    </row>
    <row r="13" spans="1:58" x14ac:dyDescent="0.3">
      <c r="A13" s="20" t="str">
        <f>rpt_InformeNominaMes!A13</f>
        <v>603250181</v>
      </c>
      <c r="B13" s="38">
        <v>10748</v>
      </c>
      <c r="C13" s="20" t="str">
        <f>rpt_InformeNominaMes!B13</f>
        <v>ANGEL ALBERTO TORRES GONZALEZ</v>
      </c>
      <c r="D13" s="21" t="str">
        <f>+rpt_InformeNominaMes!R13</f>
        <v>07/07/2025</v>
      </c>
      <c r="E13" s="21"/>
      <c r="F13" s="20" t="s">
        <v>52</v>
      </c>
      <c r="G13" s="20" t="s">
        <v>53</v>
      </c>
      <c r="H13" s="22" t="s">
        <v>60</v>
      </c>
      <c r="I13" s="39">
        <v>3189</v>
      </c>
      <c r="J13" s="23">
        <v>46143</v>
      </c>
      <c r="K13" s="22" t="s">
        <v>55</v>
      </c>
      <c r="L13" s="40">
        <v>0.27829999999999999</v>
      </c>
      <c r="M13" s="44">
        <f>rpt_InformeNominaMes!T13</f>
        <v>10167</v>
      </c>
      <c r="N13" s="44">
        <v>0</v>
      </c>
      <c r="O13" s="44">
        <v>0</v>
      </c>
      <c r="P13" s="44">
        <v>0</v>
      </c>
      <c r="Q13" s="44">
        <v>0</v>
      </c>
      <c r="R13" s="44">
        <f>+rpt_InformeNominaMes!Y13</f>
        <v>879.8</v>
      </c>
      <c r="S13" s="44">
        <f>+rpt_InformeNominaMes!W13</f>
        <v>0</v>
      </c>
      <c r="T13" s="44">
        <v>0</v>
      </c>
      <c r="U13" s="44">
        <f>+rpt_InformeNominaMes!V13</f>
        <v>0</v>
      </c>
      <c r="V13" s="44">
        <v>0</v>
      </c>
      <c r="W13" s="44">
        <v>0</v>
      </c>
      <c r="X13" s="44">
        <f>+rpt_InformeNominaMes!X13</f>
        <v>0</v>
      </c>
      <c r="Y13" s="44">
        <f>+rpt_InformeNominaMes!Z13</f>
        <v>0</v>
      </c>
      <c r="Z13" s="44">
        <v>0</v>
      </c>
      <c r="AA13" s="44">
        <f>+rpt_InformeNominaMes!U13</f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35">
        <f t="shared" si="0"/>
        <v>11046.8</v>
      </c>
      <c r="AH13" s="25"/>
      <c r="AI13" s="26">
        <f>rpt_InformeNominaMes!S13</f>
        <v>10167</v>
      </c>
      <c r="AJ13" s="44">
        <f>+rpt_InformeNominaMes!AE13</f>
        <v>2936.83</v>
      </c>
      <c r="AK13" s="44">
        <f>+rpt_InformeNominaMes!AF13</f>
        <v>110.47</v>
      </c>
      <c r="AL13" s="44">
        <f>+rpt_InformeNominaMes!AN13</f>
        <v>920.56666666666661</v>
      </c>
      <c r="AM13" s="35">
        <f t="shared" si="1"/>
        <v>3967.8666666666663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36">
        <f t="shared" si="2"/>
        <v>0</v>
      </c>
      <c r="AV13" s="25"/>
      <c r="AW13" s="26">
        <f t="shared" si="3"/>
        <v>15039.666666666666</v>
      </c>
      <c r="AX13" s="26">
        <f>135*BA13</f>
        <v>135</v>
      </c>
      <c r="AY13" s="26">
        <f t="shared" si="4"/>
        <v>25</v>
      </c>
      <c r="AZ13" s="26">
        <f t="shared" si="5"/>
        <v>15174.666666666666</v>
      </c>
      <c r="BA13" s="26">
        <v>1</v>
      </c>
      <c r="BB13" s="27">
        <f t="shared" si="6"/>
        <v>15039.67</v>
      </c>
      <c r="BC13" s="27">
        <f t="shared" si="7"/>
        <v>135</v>
      </c>
      <c r="BD13" s="27">
        <f t="shared" si="8"/>
        <v>15174.67</v>
      </c>
      <c r="BE13" s="29" t="str">
        <f>VLOOKUP(A13,rpt_InformeNominaMes!A$4:E$16,5,0)</f>
        <v>REMOFIRST - SKELLIG AUTOMATION US LLC</v>
      </c>
      <c r="BF13" s="11">
        <v>135</v>
      </c>
    </row>
    <row r="14" spans="1:58" x14ac:dyDescent="0.3">
      <c r="A14" s="20" t="str">
        <f>rpt_InformeNominaMes!A14</f>
        <v>110930288</v>
      </c>
      <c r="B14" s="38">
        <v>10620</v>
      </c>
      <c r="C14" s="20" t="str">
        <f>rpt_InformeNominaMes!B14</f>
        <v>JORGE ESTEBAN VALVERDE ESPINOZA</v>
      </c>
      <c r="D14" s="21" t="str">
        <f>+rpt_InformeNominaMes!R14</f>
        <v>18/08/2025</v>
      </c>
      <c r="E14" s="21"/>
      <c r="F14" s="20" t="s">
        <v>52</v>
      </c>
      <c r="G14" s="20" t="s">
        <v>53</v>
      </c>
      <c r="H14" s="22" t="s">
        <v>61</v>
      </c>
      <c r="I14" s="39">
        <v>3271</v>
      </c>
      <c r="J14" s="23">
        <v>46143</v>
      </c>
      <c r="K14" s="22" t="s">
        <v>55</v>
      </c>
      <c r="L14" s="40">
        <v>0.27829999999999999</v>
      </c>
      <c r="M14" s="44">
        <f>rpt_InformeNominaMes!T14</f>
        <v>9188</v>
      </c>
      <c r="N14" s="44">
        <v>0</v>
      </c>
      <c r="O14" s="44">
        <v>0</v>
      </c>
      <c r="P14" s="44">
        <v>0</v>
      </c>
      <c r="Q14" s="44">
        <v>0</v>
      </c>
      <c r="R14" s="44">
        <f>+rpt_InformeNominaMes!Y14</f>
        <v>0</v>
      </c>
      <c r="S14" s="44">
        <f>+rpt_InformeNominaMes!W14</f>
        <v>0</v>
      </c>
      <c r="T14" s="44">
        <v>0</v>
      </c>
      <c r="U14" s="44">
        <f>+rpt_InformeNominaMes!V14</f>
        <v>0</v>
      </c>
      <c r="V14" s="44">
        <v>0</v>
      </c>
      <c r="W14" s="44">
        <v>0</v>
      </c>
      <c r="X14" s="44">
        <f>+rpt_InformeNominaMes!X14</f>
        <v>700</v>
      </c>
      <c r="Y14" s="44">
        <f>+rpt_InformeNominaMes!Z14</f>
        <v>0</v>
      </c>
      <c r="Z14" s="44">
        <v>0</v>
      </c>
      <c r="AA14" s="44">
        <f>+rpt_InformeNominaMes!U14</f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35">
        <f t="shared" si="0"/>
        <v>9888</v>
      </c>
      <c r="AH14" s="25"/>
      <c r="AI14" s="26">
        <f>rpt_InformeNominaMes!S14</f>
        <v>9188</v>
      </c>
      <c r="AJ14" s="44">
        <f>+rpt_InformeNominaMes!AE14</f>
        <v>2652.95</v>
      </c>
      <c r="AK14" s="44">
        <f>+rpt_InformeNominaMes!AF14</f>
        <v>98.88</v>
      </c>
      <c r="AL14" s="44">
        <f>+rpt_InformeNominaMes!AN14</f>
        <v>824</v>
      </c>
      <c r="AM14" s="35">
        <f t="shared" si="1"/>
        <v>3575.83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36">
        <f t="shared" si="2"/>
        <v>0</v>
      </c>
      <c r="AV14" s="25"/>
      <c r="AW14" s="26">
        <f t="shared" si="3"/>
        <v>13488.83</v>
      </c>
      <c r="AX14" s="26">
        <v>135</v>
      </c>
      <c r="AY14" s="26">
        <f t="shared" si="4"/>
        <v>25</v>
      </c>
      <c r="AZ14" s="26">
        <f t="shared" si="5"/>
        <v>13623.83</v>
      </c>
      <c r="BA14" s="26">
        <v>1</v>
      </c>
      <c r="BB14" s="27">
        <f t="shared" si="6"/>
        <v>13488.83</v>
      </c>
      <c r="BC14" s="27">
        <f t="shared" si="7"/>
        <v>135</v>
      </c>
      <c r="BD14" s="27">
        <f t="shared" si="8"/>
        <v>13623.83</v>
      </c>
      <c r="BE14" s="29" t="str">
        <f>VLOOKUP(A14,rpt_InformeNominaMes!A$4:E$16,5,0)</f>
        <v>REMOFIRST-IPPC TECHNOLOGIES</v>
      </c>
      <c r="BF14" s="11">
        <v>135</v>
      </c>
    </row>
    <row r="15" spans="1:58" x14ac:dyDescent="0.3">
      <c r="A15" s="20" t="str">
        <f>rpt_InformeNominaMes!A15</f>
        <v>114980416</v>
      </c>
      <c r="B15" s="38">
        <v>0</v>
      </c>
      <c r="C15" s="20" t="str">
        <f>rpt_InformeNominaMes!B15</f>
        <v>ELIZABETH STEPHANIE VARGAS SALAZAR</v>
      </c>
      <c r="D15" s="21" t="str">
        <f>+rpt_InformeNominaMes!R15</f>
        <v>09/02/2026</v>
      </c>
      <c r="E15" s="21"/>
      <c r="F15" s="20" t="s">
        <v>52</v>
      </c>
      <c r="G15" s="20" t="s">
        <v>53</v>
      </c>
      <c r="H15" s="22" t="s">
        <v>209</v>
      </c>
      <c r="I15" s="39">
        <v>0</v>
      </c>
      <c r="J15" s="23">
        <v>46143</v>
      </c>
      <c r="K15" s="22" t="s">
        <v>55</v>
      </c>
      <c r="L15" s="40">
        <v>0.27829999999999999</v>
      </c>
      <c r="M15" s="44">
        <f>rpt_InformeNominaMes!T15</f>
        <v>989384</v>
      </c>
      <c r="N15" s="44">
        <v>0</v>
      </c>
      <c r="O15" s="44">
        <v>0</v>
      </c>
      <c r="P15" s="44">
        <v>0</v>
      </c>
      <c r="Q15" s="44">
        <v>0</v>
      </c>
      <c r="R15" s="44">
        <f>+rpt_InformeNominaMes!Y15</f>
        <v>0</v>
      </c>
      <c r="S15" s="44">
        <f>+rpt_InformeNominaMes!W15</f>
        <v>0</v>
      </c>
      <c r="T15" s="44">
        <v>0</v>
      </c>
      <c r="U15" s="44">
        <f>+rpt_InformeNominaMes!V15</f>
        <v>0</v>
      </c>
      <c r="V15" s="44">
        <v>0</v>
      </c>
      <c r="W15" s="44">
        <v>0</v>
      </c>
      <c r="X15" s="44">
        <f>+rpt_InformeNominaMes!X15</f>
        <v>0</v>
      </c>
      <c r="Y15" s="44">
        <f>+rpt_InformeNominaMes!Z15</f>
        <v>0</v>
      </c>
      <c r="Z15" s="44">
        <v>0</v>
      </c>
      <c r="AA15" s="44">
        <f>+rpt_InformeNominaMes!U15</f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35">
        <f t="shared" si="0"/>
        <v>989384</v>
      </c>
      <c r="AH15" s="25"/>
      <c r="AI15" s="26">
        <f>rpt_InformeNominaMes!S15</f>
        <v>989384</v>
      </c>
      <c r="AJ15" s="44">
        <f>+rpt_InformeNominaMes!AE15</f>
        <v>265451.73</v>
      </c>
      <c r="AK15" s="44">
        <f>+rpt_InformeNominaMes!AF15</f>
        <v>9893.84</v>
      </c>
      <c r="AL15" s="44">
        <f>+rpt_InformeNominaMes!AN15</f>
        <v>82448.666666666672</v>
      </c>
      <c r="AM15" s="35">
        <f t="shared" si="1"/>
        <v>357794.23666666669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36">
        <f t="shared" si="2"/>
        <v>0</v>
      </c>
      <c r="AV15" s="25"/>
      <c r="AW15" s="26">
        <f t="shared" si="3"/>
        <v>1358228.2366666668</v>
      </c>
      <c r="AX15" s="26">
        <f>135*BA15</f>
        <v>59670</v>
      </c>
      <c r="AY15" s="26">
        <f t="shared" si="4"/>
        <v>11050</v>
      </c>
      <c r="AZ15" s="26">
        <f t="shared" si="5"/>
        <v>1417898.2366666668</v>
      </c>
      <c r="BA15" s="26">
        <v>442</v>
      </c>
      <c r="BB15" s="27">
        <f t="shared" si="6"/>
        <v>3072.91</v>
      </c>
      <c r="BC15" s="27">
        <f t="shared" si="7"/>
        <v>135</v>
      </c>
      <c r="BD15" s="27">
        <f t="shared" si="8"/>
        <v>3207.91</v>
      </c>
      <c r="BE15" s="29" t="str">
        <f>VLOOKUP(A15,rpt_InformeNominaMes!A$4:E$16,5,0)</f>
        <v>COMRISE INC (RF)</v>
      </c>
      <c r="BF15" s="11">
        <v>135</v>
      </c>
    </row>
    <row r="16" spans="1:58" x14ac:dyDescent="0.3">
      <c r="A16" s="20" t="str">
        <f>rpt_InformeNominaMes!A16</f>
        <v>604810574</v>
      </c>
      <c r="B16" s="38">
        <v>11763</v>
      </c>
      <c r="C16" s="20" t="str">
        <f>rpt_InformeNominaMes!B16</f>
        <v>GEANINA VILLALOBOS MOLINA</v>
      </c>
      <c r="D16" s="21" t="str">
        <f>+rpt_InformeNominaMes!R16</f>
        <v>01/09/2025</v>
      </c>
      <c r="E16" s="21"/>
      <c r="F16" s="20" t="s">
        <v>52</v>
      </c>
      <c r="G16" s="20" t="s">
        <v>53</v>
      </c>
      <c r="H16" s="22" t="s">
        <v>62</v>
      </c>
      <c r="I16" s="39">
        <v>3948</v>
      </c>
      <c r="J16" s="23">
        <v>46143</v>
      </c>
      <c r="K16" s="22" t="s">
        <v>55</v>
      </c>
      <c r="L16" s="40">
        <v>0.27829999999999999</v>
      </c>
      <c r="M16" s="44">
        <f>rpt_InformeNominaMes!T16</f>
        <v>1000000</v>
      </c>
      <c r="N16" s="44">
        <v>0</v>
      </c>
      <c r="O16" s="44">
        <v>0</v>
      </c>
      <c r="P16" s="44">
        <v>0</v>
      </c>
      <c r="Q16" s="44">
        <v>0</v>
      </c>
      <c r="R16" s="44">
        <f>+rpt_InformeNominaMes!Y16</f>
        <v>0</v>
      </c>
      <c r="S16" s="44">
        <f>+rpt_InformeNominaMes!W16</f>
        <v>0</v>
      </c>
      <c r="T16" s="44">
        <v>0</v>
      </c>
      <c r="U16" s="44">
        <f>+rpt_InformeNominaMes!V16</f>
        <v>0</v>
      </c>
      <c r="V16" s="44">
        <v>0</v>
      </c>
      <c r="W16" s="44">
        <v>0</v>
      </c>
      <c r="X16" s="44">
        <f>+rpt_InformeNominaMes!X16</f>
        <v>0</v>
      </c>
      <c r="Y16" s="44">
        <f>+rpt_InformeNominaMes!Z16</f>
        <v>0</v>
      </c>
      <c r="Z16" s="44">
        <v>0</v>
      </c>
      <c r="AA16" s="44">
        <f>+rpt_InformeNominaMes!U16</f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35">
        <f t="shared" si="0"/>
        <v>1000000</v>
      </c>
      <c r="AH16" s="25"/>
      <c r="AI16" s="26">
        <f>rpt_InformeNominaMes!S16</f>
        <v>1000000</v>
      </c>
      <c r="AJ16" s="44">
        <f>+rpt_InformeNominaMes!AE16</f>
        <v>268300</v>
      </c>
      <c r="AK16" s="44">
        <f>+rpt_InformeNominaMes!AF16</f>
        <v>10000</v>
      </c>
      <c r="AL16" s="44">
        <f>+rpt_InformeNominaMes!AN16</f>
        <v>83333.333333333328</v>
      </c>
      <c r="AM16" s="35">
        <f t="shared" si="1"/>
        <v>361633.33333333331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36">
        <f t="shared" si="2"/>
        <v>0</v>
      </c>
      <c r="AV16" s="25"/>
      <c r="AW16" s="26">
        <f t="shared" si="3"/>
        <v>1372683.3333333333</v>
      </c>
      <c r="AX16" s="26">
        <f>135*BA16</f>
        <v>59670</v>
      </c>
      <c r="AY16" s="26">
        <f t="shared" si="4"/>
        <v>11050</v>
      </c>
      <c r="AZ16" s="26">
        <f t="shared" si="5"/>
        <v>1432353.3333333333</v>
      </c>
      <c r="BA16" s="26">
        <v>442</v>
      </c>
      <c r="BB16" s="27">
        <f t="shared" si="6"/>
        <v>3105.62</v>
      </c>
      <c r="BC16" s="27">
        <f t="shared" si="7"/>
        <v>135</v>
      </c>
      <c r="BD16" s="27">
        <f t="shared" si="8"/>
        <v>3240.62</v>
      </c>
      <c r="BE16" s="29" t="str">
        <f>VLOOKUP(A16,rpt_InformeNominaMes!A$4:E$16,5,0)</f>
        <v>AIS VENTURES LLC (RF)</v>
      </c>
      <c r="BF16" s="11">
        <v>135</v>
      </c>
    </row>
    <row r="17" spans="1:57" x14ac:dyDescent="0.3">
      <c r="A17" s="30"/>
      <c r="B17" s="30"/>
      <c r="C17" s="20"/>
      <c r="D17" s="30"/>
      <c r="E17" s="30"/>
      <c r="F17" s="30"/>
      <c r="G17" s="30"/>
      <c r="H17" s="31" t="s">
        <v>63</v>
      </c>
      <c r="I17" s="31"/>
      <c r="J17" s="31"/>
      <c r="K17" s="31"/>
      <c r="L17" s="31"/>
      <c r="M17" s="28">
        <f t="shared" ref="M17:AF17" si="16">+SUM(M4:M16)</f>
        <v>10939898</v>
      </c>
      <c r="N17" s="28">
        <f t="shared" si="16"/>
        <v>0</v>
      </c>
      <c r="O17" s="28">
        <f t="shared" si="16"/>
        <v>0</v>
      </c>
      <c r="P17" s="28">
        <f t="shared" si="16"/>
        <v>0</v>
      </c>
      <c r="Q17" s="28">
        <f t="shared" si="16"/>
        <v>0</v>
      </c>
      <c r="R17" s="28">
        <f t="shared" si="16"/>
        <v>879.8</v>
      </c>
      <c r="S17" s="28">
        <f t="shared" si="16"/>
        <v>0</v>
      </c>
      <c r="T17" s="28">
        <f t="shared" si="16"/>
        <v>0</v>
      </c>
      <c r="U17" s="28">
        <f t="shared" si="16"/>
        <v>0</v>
      </c>
      <c r="V17" s="28">
        <f t="shared" si="16"/>
        <v>0</v>
      </c>
      <c r="W17" s="28">
        <f t="shared" si="16"/>
        <v>0</v>
      </c>
      <c r="X17" s="28">
        <f t="shared" si="16"/>
        <v>700</v>
      </c>
      <c r="Y17" s="28">
        <f t="shared" si="16"/>
        <v>0</v>
      </c>
      <c r="Z17" s="28">
        <f t="shared" si="16"/>
        <v>0</v>
      </c>
      <c r="AA17" s="28">
        <f t="shared" si="16"/>
        <v>0</v>
      </c>
      <c r="AB17" s="28">
        <f t="shared" si="16"/>
        <v>0</v>
      </c>
      <c r="AC17" s="28">
        <f t="shared" si="16"/>
        <v>0</v>
      </c>
      <c r="AD17" s="28">
        <f t="shared" si="16"/>
        <v>0</v>
      </c>
      <c r="AE17" s="28">
        <f t="shared" si="16"/>
        <v>0</v>
      </c>
      <c r="AF17" s="28">
        <f t="shared" si="16"/>
        <v>0</v>
      </c>
      <c r="AG17" s="28">
        <f>+SUM(AG4:AG16)</f>
        <v>10941477.800000001</v>
      </c>
      <c r="AH17" s="25"/>
      <c r="AI17" s="4" t="s">
        <v>41</v>
      </c>
      <c r="AJ17" s="28">
        <f>+SUM(AJ4:AJ16)</f>
        <v>2935571.47</v>
      </c>
      <c r="AK17" s="28">
        <f>+SUM(AK4:AK16)</f>
        <v>109414.78</v>
      </c>
      <c r="AL17" s="28">
        <f>+SUM(AL4:AL16)</f>
        <v>911789.81666666665</v>
      </c>
      <c r="AM17" s="28">
        <f>+SUM(AM4:AM16)</f>
        <v>3956776.0666666669</v>
      </c>
      <c r="AO17" s="28">
        <f t="shared" ref="AO17:AU17" si="17">+SUM(AO4:AO16)</f>
        <v>0</v>
      </c>
      <c r="AP17" s="28">
        <f t="shared" si="17"/>
        <v>0</v>
      </c>
      <c r="AQ17" s="28">
        <f t="shared" si="17"/>
        <v>0</v>
      </c>
      <c r="AR17" s="28">
        <f t="shared" si="17"/>
        <v>0</v>
      </c>
      <c r="AS17" s="28">
        <f t="shared" si="17"/>
        <v>0</v>
      </c>
      <c r="AT17" s="28">
        <f t="shared" si="17"/>
        <v>0</v>
      </c>
      <c r="AU17" s="28">
        <f t="shared" si="17"/>
        <v>0</v>
      </c>
      <c r="AV17" s="25"/>
      <c r="AW17" s="28">
        <f>+SUM(AW4:AW16)</f>
        <v>14986778.866666665</v>
      </c>
      <c r="AX17" s="28">
        <f>+SUM(AX4:AX16)</f>
        <v>478035</v>
      </c>
      <c r="AY17" s="28">
        <f>+SUM(AY4:AY16)</f>
        <v>88525</v>
      </c>
      <c r="AZ17" s="28">
        <f>+SUM(AZ4:AZ16)</f>
        <v>15464813.866666665</v>
      </c>
      <c r="BA17" s="32"/>
      <c r="BB17" s="28">
        <f>+SUM(BB4:BB16)</f>
        <v>88923.73</v>
      </c>
      <c r="BC17" s="28">
        <f>+SUM(BC4:BC16)</f>
        <v>1755</v>
      </c>
      <c r="BD17" s="28">
        <f>+SUM(BD4:BD16)</f>
        <v>90678.73</v>
      </c>
    </row>
    <row r="18" spans="1:57" x14ac:dyDescent="0.3">
      <c r="AN18" s="19"/>
    </row>
    <row r="19" spans="1:57" x14ac:dyDescent="0.3">
      <c r="A19" s="33" t="s">
        <v>64</v>
      </c>
      <c r="R19" s="34"/>
      <c r="BE19" s="37"/>
    </row>
    <row r="20" spans="1:57" ht="48.75" customHeight="1" x14ac:dyDescent="0.3">
      <c r="A20" s="15" t="s">
        <v>4</v>
      </c>
      <c r="B20" s="15" t="s">
        <v>5</v>
      </c>
      <c r="C20" s="15" t="s">
        <v>6</v>
      </c>
      <c r="D20" s="15" t="s">
        <v>7</v>
      </c>
      <c r="E20" s="15" t="s">
        <v>8</v>
      </c>
      <c r="F20" s="15" t="s">
        <v>9</v>
      </c>
      <c r="G20" s="15" t="s">
        <v>10</v>
      </c>
      <c r="H20" s="16" t="s">
        <v>11</v>
      </c>
      <c r="I20" s="16" t="s">
        <v>12</v>
      </c>
      <c r="J20" s="16" t="s">
        <v>13</v>
      </c>
      <c r="K20" s="15" t="s">
        <v>14</v>
      </c>
      <c r="L20" s="15" t="s">
        <v>15</v>
      </c>
      <c r="M20" s="15" t="s">
        <v>16</v>
      </c>
      <c r="N20" s="15" t="s">
        <v>17</v>
      </c>
      <c r="O20" s="15" t="s">
        <v>18</v>
      </c>
      <c r="P20" s="15" t="s">
        <v>19</v>
      </c>
      <c r="Q20" s="15" t="s">
        <v>20</v>
      </c>
      <c r="R20" s="17" t="s">
        <v>21</v>
      </c>
      <c r="S20" s="17" t="s">
        <v>22</v>
      </c>
      <c r="T20" s="18" t="s">
        <v>23</v>
      </c>
      <c r="U20" s="18" t="s">
        <v>24</v>
      </c>
      <c r="V20" s="15" t="s">
        <v>25</v>
      </c>
      <c r="W20" s="18" t="s">
        <v>26</v>
      </c>
      <c r="X20" s="18" t="s">
        <v>27</v>
      </c>
      <c r="Y20" s="18"/>
      <c r="Z20" s="18" t="s">
        <v>29</v>
      </c>
      <c r="AA20" s="18" t="s">
        <v>30</v>
      </c>
      <c r="AB20" s="18" t="s">
        <v>31</v>
      </c>
      <c r="AC20" s="18" t="s">
        <v>32</v>
      </c>
      <c r="AD20" s="18" t="s">
        <v>33</v>
      </c>
      <c r="AE20" s="18" t="s">
        <v>34</v>
      </c>
      <c r="AF20" s="18" t="s">
        <v>35</v>
      </c>
      <c r="AG20" s="15" t="s">
        <v>36</v>
      </c>
      <c r="AH20" s="19"/>
      <c r="AI20" s="19"/>
      <c r="AJ20" s="18" t="s">
        <v>65</v>
      </c>
      <c r="AK20" s="18"/>
      <c r="AL20" s="18" t="s">
        <v>66</v>
      </c>
      <c r="AM20" s="18" t="s">
        <v>41</v>
      </c>
      <c r="AO20" s="18" t="s">
        <v>67</v>
      </c>
      <c r="AP20" s="18" t="s">
        <v>68</v>
      </c>
      <c r="AQ20" s="18" t="s">
        <v>69</v>
      </c>
      <c r="AR20" s="18" t="s">
        <v>70</v>
      </c>
      <c r="AS20" s="18" t="s">
        <v>71</v>
      </c>
      <c r="AT20" s="18"/>
      <c r="AU20" s="18" t="s">
        <v>41</v>
      </c>
      <c r="AV20" s="19"/>
      <c r="AW20" s="18" t="s">
        <v>45</v>
      </c>
      <c r="AX20" s="18" t="s">
        <v>46</v>
      </c>
      <c r="AY20" s="18" t="s">
        <v>47</v>
      </c>
      <c r="AZ20" s="18" t="s">
        <v>72</v>
      </c>
      <c r="BA20" s="18" t="s">
        <v>48</v>
      </c>
      <c r="BB20" s="18" t="s">
        <v>49</v>
      </c>
      <c r="BC20" s="18" t="s">
        <v>50</v>
      </c>
      <c r="BD20" s="18" t="s">
        <v>51</v>
      </c>
    </row>
    <row r="21" spans="1:57" x14ac:dyDescent="0.3">
      <c r="M21" s="53"/>
      <c r="AG21" s="54"/>
      <c r="AM21" s="54"/>
    </row>
    <row r="22" spans="1:57" x14ac:dyDescent="0.3">
      <c r="M22" s="53"/>
      <c r="AG22" s="54"/>
      <c r="AM22" s="54"/>
    </row>
    <row r="23" spans="1:57" x14ac:dyDescent="0.3">
      <c r="M23" s="53"/>
      <c r="AG23" s="54"/>
      <c r="AM23" s="54"/>
    </row>
    <row r="24" spans="1:57" x14ac:dyDescent="0.3">
      <c r="M24" s="53"/>
      <c r="AG24" s="54"/>
      <c r="AM24" s="54"/>
    </row>
    <row r="25" spans="1:57" x14ac:dyDescent="0.3">
      <c r="M25" s="53"/>
      <c r="AG25" s="54"/>
      <c r="AM25" s="54"/>
    </row>
    <row r="26" spans="1:57" x14ac:dyDescent="0.3">
      <c r="M26" s="53"/>
      <c r="AG26" s="54"/>
      <c r="AM26" s="54"/>
    </row>
    <row r="27" spans="1:57" x14ac:dyDescent="0.3">
      <c r="M27" s="53"/>
      <c r="AG27" s="54"/>
      <c r="AM27" s="54"/>
    </row>
    <row r="28" spans="1:57" x14ac:dyDescent="0.3">
      <c r="M28" s="53"/>
      <c r="AG28" s="54"/>
      <c r="AM28" s="54"/>
    </row>
    <row r="29" spans="1:57" x14ac:dyDescent="0.3">
      <c r="M29" s="53"/>
      <c r="AG29" s="54"/>
      <c r="AM29" s="54"/>
    </row>
    <row r="30" spans="1:57" x14ac:dyDescent="0.3">
      <c r="M30" s="53"/>
      <c r="AG30" s="54"/>
      <c r="AM30" s="54"/>
    </row>
    <row r="31" spans="1:57" x14ac:dyDescent="0.3">
      <c r="M31" s="53"/>
      <c r="AG31" s="54"/>
      <c r="AM31" s="54"/>
    </row>
    <row r="32" spans="1:57" x14ac:dyDescent="0.3">
      <c r="M32" s="53"/>
      <c r="AG32" s="54"/>
      <c r="AM32" s="54"/>
    </row>
    <row r="33" spans="13:39" x14ac:dyDescent="0.3">
      <c r="M33" s="53"/>
      <c r="AG33" s="54"/>
      <c r="AM33" s="54"/>
    </row>
  </sheetData>
  <mergeCells count="3">
    <mergeCell ref="AO2:AU2"/>
    <mergeCell ref="AW2:BD2"/>
    <mergeCell ref="AI2:AM2"/>
  </mergeCells>
  <pageMargins left="0.39370078740157499" right="0.39370078740157499" top="0.39370078740157499" bottom="0.63062598425196903" header="0.39370078740157499" footer="0.39370078740157499"/>
  <pageSetup paperSize="9" orientation="landscape" horizontalDpi="300" verticalDpi="300"/>
  <headerFooter alignWithMargins="0">
    <oddFooter>&amp;R&amp;"Tahoma,Regular"&amp;7Página :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"/>
  <sheetViews>
    <sheetView showGridLines="0" tabSelected="1" zoomScale="130" zoomScaleNormal="13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2" sqref="E2"/>
    </sheetView>
  </sheetViews>
  <sheetFormatPr baseColWidth="10" defaultColWidth="11.5546875" defaultRowHeight="14.4" x14ac:dyDescent="0.3"/>
  <cols>
    <col min="1" max="1" width="20" style="41" customWidth="1"/>
    <col min="2" max="2" width="32.33203125" style="41" customWidth="1"/>
    <col min="3" max="3" width="13.5546875" style="41" customWidth="1"/>
    <col min="4" max="4" width="13.44140625" style="41" customWidth="1"/>
    <col min="5" max="5" width="28.6640625" style="41" bestFit="1" customWidth="1"/>
    <col min="6" max="6" width="13.5546875" style="41" customWidth="1"/>
    <col min="7" max="7" width="28.33203125" style="41" customWidth="1"/>
    <col min="8" max="8" width="13.44140625" style="41" customWidth="1"/>
    <col min="9" max="9" width="22.88671875" style="41" customWidth="1"/>
    <col min="10" max="10" width="13.44140625" style="41" customWidth="1"/>
    <col min="11" max="11" width="19.33203125" style="41" customWidth="1"/>
    <col min="12" max="12" width="13.44140625" style="41" customWidth="1"/>
    <col min="13" max="13" width="13.5546875" style="41" customWidth="1"/>
    <col min="14" max="15" width="13.44140625" style="41" customWidth="1"/>
    <col min="16" max="16" width="13.5546875" style="41" customWidth="1"/>
    <col min="17" max="18" width="13.44140625" style="41" customWidth="1"/>
    <col min="19" max="19" width="13.5546875" style="41" customWidth="1"/>
    <col min="20" max="32" width="12.6640625" style="41" customWidth="1"/>
    <col min="33" max="33" width="11.44140625" style="41" customWidth="1"/>
    <col min="34" max="34" width="11.33203125" style="41" customWidth="1"/>
    <col min="35" max="35" width="13.44140625" style="41" customWidth="1"/>
    <col min="36" max="36" width="16.5546875" style="41" customWidth="1"/>
    <col min="37" max="41" width="11.5546875" style="41"/>
    <col min="42" max="43" width="12.88671875" style="41" bestFit="1" customWidth="1"/>
    <col min="44" max="16384" width="11.5546875" style="41"/>
  </cols>
  <sheetData>
    <row r="1" spans="1:44" ht="34.65" customHeight="1" x14ac:dyDescent="0.3">
      <c r="A1" s="64"/>
      <c r="B1" s="51" t="s">
        <v>86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s="65" t="s">
        <v>87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1"/>
      <c r="AH1" s="62"/>
      <c r="AI1" s="62"/>
      <c r="AJ1" s="63"/>
      <c r="AK1"/>
      <c r="AL1"/>
      <c r="AM1"/>
      <c r="AN1"/>
      <c r="AO1"/>
      <c r="AP1"/>
      <c r="AQ1"/>
      <c r="AR1"/>
    </row>
    <row r="2" spans="1:44" ht="34.65" customHeight="1" x14ac:dyDescent="0.3">
      <c r="A2" s="64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1"/>
      <c r="AH2" s="62"/>
      <c r="AI2" s="62"/>
      <c r="AJ2" s="63"/>
      <c r="AK2"/>
      <c r="AL2"/>
      <c r="AM2"/>
      <c r="AN2"/>
      <c r="AO2"/>
      <c r="AP2"/>
      <c r="AQ2"/>
      <c r="AR2"/>
    </row>
    <row r="3" spans="1:44" ht="36" x14ac:dyDescent="0.3">
      <c r="A3" s="45" t="s">
        <v>88</v>
      </c>
      <c r="B3" s="45" t="s">
        <v>89</v>
      </c>
      <c r="C3" s="45" t="s">
        <v>90</v>
      </c>
      <c r="D3" s="45" t="s">
        <v>91</v>
      </c>
      <c r="E3" s="45" t="s">
        <v>92</v>
      </c>
      <c r="F3" s="45" t="s">
        <v>93</v>
      </c>
      <c r="G3" s="45" t="s">
        <v>94</v>
      </c>
      <c r="H3" s="45" t="s">
        <v>95</v>
      </c>
      <c r="I3" s="45" t="s">
        <v>96</v>
      </c>
      <c r="J3" s="45" t="s">
        <v>97</v>
      </c>
      <c r="K3" s="45" t="s">
        <v>98</v>
      </c>
      <c r="L3" s="45" t="s">
        <v>99</v>
      </c>
      <c r="M3" s="45" t="s">
        <v>100</v>
      </c>
      <c r="N3" s="45" t="s">
        <v>101</v>
      </c>
      <c r="O3" s="45" t="s">
        <v>102</v>
      </c>
      <c r="P3" s="45" t="s">
        <v>103</v>
      </c>
      <c r="Q3" s="45" t="s">
        <v>104</v>
      </c>
      <c r="R3" s="45" t="s">
        <v>105</v>
      </c>
      <c r="S3" s="45" t="s">
        <v>106</v>
      </c>
      <c r="T3" s="45" t="s">
        <v>107</v>
      </c>
      <c r="U3" s="45" t="s">
        <v>108</v>
      </c>
      <c r="V3" s="45" t="s">
        <v>109</v>
      </c>
      <c r="W3" s="45" t="s">
        <v>110</v>
      </c>
      <c r="X3" s="45" t="s">
        <v>111</v>
      </c>
      <c r="Y3" s="45" t="s">
        <v>112</v>
      </c>
      <c r="Z3" s="45" t="s">
        <v>113</v>
      </c>
      <c r="AA3" s="45" t="s">
        <v>114</v>
      </c>
      <c r="AB3" s="45" t="s">
        <v>115</v>
      </c>
      <c r="AC3" s="45" t="s">
        <v>116</v>
      </c>
      <c r="AD3" s="45" t="s">
        <v>117</v>
      </c>
      <c r="AE3" s="45" t="s">
        <v>38</v>
      </c>
      <c r="AF3" s="45" t="s">
        <v>39</v>
      </c>
      <c r="AG3" s="45" t="s">
        <v>118</v>
      </c>
      <c r="AH3" s="45" t="s">
        <v>119</v>
      </c>
      <c r="AI3" s="45" t="s">
        <v>120</v>
      </c>
      <c r="AJ3" s="45" t="s">
        <v>121</v>
      </c>
      <c r="AK3" s="1" t="s">
        <v>122</v>
      </c>
      <c r="AL3"/>
      <c r="AM3" s="42" t="s">
        <v>123</v>
      </c>
      <c r="AN3" s="42" t="s">
        <v>124</v>
      </c>
      <c r="AO3"/>
      <c r="AP3"/>
      <c r="AQ3"/>
      <c r="AR3"/>
    </row>
    <row r="4" spans="1:44" ht="12.6" customHeight="1" x14ac:dyDescent="0.3">
      <c r="A4" s="46" t="s">
        <v>125</v>
      </c>
      <c r="B4" s="46" t="s">
        <v>73</v>
      </c>
      <c r="C4" s="46" t="s">
        <v>125</v>
      </c>
      <c r="D4" s="46" t="s">
        <v>126</v>
      </c>
      <c r="E4" s="66" t="s">
        <v>127</v>
      </c>
      <c r="F4" s="46" t="s">
        <v>128</v>
      </c>
      <c r="G4" s="46" t="s">
        <v>129</v>
      </c>
      <c r="H4" s="46" t="s">
        <v>130</v>
      </c>
      <c r="I4" s="46" t="s">
        <v>131</v>
      </c>
      <c r="J4" s="46" t="s">
        <v>132</v>
      </c>
      <c r="K4" s="46" t="s">
        <v>133</v>
      </c>
      <c r="L4" s="46" t="s">
        <v>134</v>
      </c>
      <c r="M4" s="46" t="s">
        <v>135</v>
      </c>
      <c r="N4" s="46" t="s">
        <v>133</v>
      </c>
      <c r="O4" s="46" t="s">
        <v>133</v>
      </c>
      <c r="P4" s="46" t="s">
        <v>136</v>
      </c>
      <c r="Q4" s="46" t="s">
        <v>137</v>
      </c>
      <c r="R4" s="46" t="s">
        <v>138</v>
      </c>
      <c r="S4" s="47">
        <v>1681000</v>
      </c>
      <c r="T4" s="47">
        <v>1681000</v>
      </c>
      <c r="U4" s="47"/>
      <c r="V4" s="47"/>
      <c r="W4" s="47"/>
      <c r="X4" s="47"/>
      <c r="Y4" s="47"/>
      <c r="Z4" s="47"/>
      <c r="AA4" s="47">
        <v>165242.29999999999</v>
      </c>
      <c r="AB4" s="47">
        <v>16810</v>
      </c>
      <c r="AC4" s="47">
        <v>92999.9</v>
      </c>
      <c r="AD4" s="47"/>
      <c r="AE4" s="47">
        <v>451012.3</v>
      </c>
      <c r="AF4" s="47">
        <v>16810</v>
      </c>
      <c r="AG4" s="48">
        <v>1681000</v>
      </c>
      <c r="AH4" s="49">
        <v>275052.2</v>
      </c>
      <c r="AI4" s="49">
        <v>467822.3</v>
      </c>
      <c r="AJ4" s="50">
        <v>1405947.8</v>
      </c>
      <c r="AK4" s="2" t="s">
        <v>139</v>
      </c>
      <c r="AL4"/>
      <c r="AM4" s="43">
        <f>SUM(T4:Z4)*3.89%</f>
        <v>65390.900000000009</v>
      </c>
      <c r="AN4" s="43">
        <f>+SUM(T4:Z4)/12</f>
        <v>140083.33333333334</v>
      </c>
      <c r="AO4"/>
      <c r="AP4"/>
      <c r="AQ4" s="52"/>
      <c r="AR4" s="52"/>
    </row>
    <row r="5" spans="1:44" ht="12.6" customHeight="1" x14ac:dyDescent="0.3">
      <c r="A5" s="46" t="s">
        <v>140</v>
      </c>
      <c r="B5" s="46" t="s">
        <v>74</v>
      </c>
      <c r="C5" s="46" t="s">
        <v>140</v>
      </c>
      <c r="D5" s="46" t="s">
        <v>141</v>
      </c>
      <c r="E5" s="66" t="s">
        <v>142</v>
      </c>
      <c r="F5" s="46" t="s">
        <v>143</v>
      </c>
      <c r="G5" s="46" t="s">
        <v>144</v>
      </c>
      <c r="H5" s="46" t="s">
        <v>130</v>
      </c>
      <c r="I5" s="46" t="s">
        <v>131</v>
      </c>
      <c r="J5" s="46" t="s">
        <v>132</v>
      </c>
      <c r="K5" s="46" t="s">
        <v>133</v>
      </c>
      <c r="L5" s="46" t="s">
        <v>134</v>
      </c>
      <c r="M5" s="46" t="s">
        <v>135</v>
      </c>
      <c r="N5" s="46" t="s">
        <v>133</v>
      </c>
      <c r="O5" s="46" t="s">
        <v>133</v>
      </c>
      <c r="P5" s="46" t="s">
        <v>145</v>
      </c>
      <c r="Q5" s="46" t="s">
        <v>145</v>
      </c>
      <c r="R5" s="46" t="s">
        <v>146</v>
      </c>
      <c r="S5" s="47">
        <v>8823</v>
      </c>
      <c r="T5" s="47">
        <v>8823</v>
      </c>
      <c r="U5" s="47"/>
      <c r="V5" s="47"/>
      <c r="W5" s="47"/>
      <c r="X5" s="47"/>
      <c r="Y5" s="47"/>
      <c r="Z5" s="47"/>
      <c r="AA5" s="47">
        <v>867.3</v>
      </c>
      <c r="AB5" s="47">
        <v>88.23</v>
      </c>
      <c r="AC5" s="47"/>
      <c r="AD5" s="47">
        <v>1137.1099999999999</v>
      </c>
      <c r="AE5" s="47">
        <v>2367.21</v>
      </c>
      <c r="AF5" s="47">
        <v>88.23</v>
      </c>
      <c r="AG5" s="48">
        <v>8823</v>
      </c>
      <c r="AH5" s="49">
        <v>2092.64</v>
      </c>
      <c r="AI5" s="49">
        <v>2455.44</v>
      </c>
      <c r="AJ5" s="50">
        <v>6730.36</v>
      </c>
      <c r="AK5" s="2" t="s">
        <v>147</v>
      </c>
      <c r="AL5"/>
      <c r="AM5" s="43">
        <f t="shared" ref="AM5:AM16" si="0">SUM(T5:Z5)*3.89%</f>
        <v>343.21470000000005</v>
      </c>
      <c r="AN5" s="43">
        <f t="shared" ref="AN5:AN16" si="1">+SUM(T5:Z5)/12</f>
        <v>735.25</v>
      </c>
      <c r="AO5"/>
      <c r="AP5"/>
      <c r="AQ5" s="52"/>
      <c r="AR5" s="52"/>
    </row>
    <row r="6" spans="1:44" ht="12.6" customHeight="1" x14ac:dyDescent="0.3">
      <c r="A6" s="46" t="s">
        <v>148</v>
      </c>
      <c r="B6" s="46" t="s">
        <v>75</v>
      </c>
      <c r="C6" s="46" t="s">
        <v>148</v>
      </c>
      <c r="D6" s="46" t="s">
        <v>149</v>
      </c>
      <c r="E6" s="66" t="s">
        <v>150</v>
      </c>
      <c r="F6" s="46" t="s">
        <v>151</v>
      </c>
      <c r="G6" s="46" t="s">
        <v>152</v>
      </c>
      <c r="H6" s="46" t="s">
        <v>130</v>
      </c>
      <c r="I6" s="46" t="s">
        <v>131</v>
      </c>
      <c r="J6" s="46" t="s">
        <v>132</v>
      </c>
      <c r="K6" s="46" t="s">
        <v>133</v>
      </c>
      <c r="L6" s="46" t="s">
        <v>134</v>
      </c>
      <c r="M6" s="46" t="s">
        <v>135</v>
      </c>
      <c r="N6" s="46" t="s">
        <v>133</v>
      </c>
      <c r="O6" s="46" t="s">
        <v>133</v>
      </c>
      <c r="P6" s="46" t="s">
        <v>136</v>
      </c>
      <c r="Q6" s="46" t="s">
        <v>137</v>
      </c>
      <c r="R6" s="46" t="s">
        <v>153</v>
      </c>
      <c r="S6" s="47">
        <v>880501</v>
      </c>
      <c r="T6" s="47">
        <v>880501</v>
      </c>
      <c r="U6" s="47"/>
      <c r="V6" s="47"/>
      <c r="W6" s="47"/>
      <c r="X6" s="47"/>
      <c r="Y6" s="47"/>
      <c r="Z6" s="47"/>
      <c r="AA6" s="47">
        <v>86553.25</v>
      </c>
      <c r="AB6" s="47">
        <v>8805.01</v>
      </c>
      <c r="AC6" s="47"/>
      <c r="AD6" s="47"/>
      <c r="AE6" s="47">
        <v>236238.42</v>
      </c>
      <c r="AF6" s="47">
        <v>8805.01</v>
      </c>
      <c r="AG6" s="48">
        <v>880501</v>
      </c>
      <c r="AH6" s="49">
        <v>95358.26</v>
      </c>
      <c r="AI6" s="49">
        <v>245043.43</v>
      </c>
      <c r="AJ6" s="50">
        <v>785142.74</v>
      </c>
      <c r="AK6" s="2" t="s">
        <v>139</v>
      </c>
      <c r="AL6"/>
      <c r="AM6" s="43">
        <f t="shared" si="0"/>
        <v>34251.488900000004</v>
      </c>
      <c r="AN6" s="43">
        <f t="shared" si="1"/>
        <v>73375.083333333328</v>
      </c>
      <c r="AO6"/>
      <c r="AP6"/>
      <c r="AQ6" s="52"/>
      <c r="AR6" s="52"/>
    </row>
    <row r="7" spans="1:44" ht="12.6" customHeight="1" x14ac:dyDescent="0.3">
      <c r="A7" s="46" t="s">
        <v>154</v>
      </c>
      <c r="B7" s="46" t="s">
        <v>76</v>
      </c>
      <c r="C7" s="46" t="s">
        <v>154</v>
      </c>
      <c r="D7" s="46" t="s">
        <v>155</v>
      </c>
      <c r="E7" s="66" t="s">
        <v>156</v>
      </c>
      <c r="F7" s="46" t="s">
        <v>157</v>
      </c>
      <c r="G7" s="46" t="s">
        <v>158</v>
      </c>
      <c r="H7" s="46" t="s">
        <v>130</v>
      </c>
      <c r="I7" s="46" t="s">
        <v>131</v>
      </c>
      <c r="J7" s="46" t="s">
        <v>132</v>
      </c>
      <c r="K7" s="46" t="s">
        <v>133</v>
      </c>
      <c r="L7" s="46" t="s">
        <v>134</v>
      </c>
      <c r="M7" s="46" t="s">
        <v>135</v>
      </c>
      <c r="N7" s="46" t="s">
        <v>133</v>
      </c>
      <c r="O7" s="46" t="s">
        <v>133</v>
      </c>
      <c r="P7" s="46" t="s">
        <v>145</v>
      </c>
      <c r="Q7" s="46" t="s">
        <v>145</v>
      </c>
      <c r="R7" s="46" t="s">
        <v>159</v>
      </c>
      <c r="S7" s="47">
        <v>878400</v>
      </c>
      <c r="T7" s="47">
        <v>878400</v>
      </c>
      <c r="U7" s="47"/>
      <c r="V7" s="47"/>
      <c r="W7" s="47"/>
      <c r="X7" s="47"/>
      <c r="Y7" s="47"/>
      <c r="Z7" s="47"/>
      <c r="AA7" s="47">
        <v>86346.72</v>
      </c>
      <c r="AB7" s="47">
        <v>8784</v>
      </c>
      <c r="AC7" s="47"/>
      <c r="AD7" s="47"/>
      <c r="AE7" s="47">
        <v>235674.72</v>
      </c>
      <c r="AF7" s="47">
        <v>8784</v>
      </c>
      <c r="AG7" s="48">
        <v>878400</v>
      </c>
      <c r="AH7" s="49">
        <v>95130.72</v>
      </c>
      <c r="AI7" s="49">
        <v>244458.72</v>
      </c>
      <c r="AJ7" s="50">
        <v>783269.28</v>
      </c>
      <c r="AK7" s="2" t="s">
        <v>139</v>
      </c>
      <c r="AL7"/>
      <c r="AM7" s="43">
        <f t="shared" si="0"/>
        <v>34169.760000000002</v>
      </c>
      <c r="AN7" s="43">
        <f t="shared" si="1"/>
        <v>73200</v>
      </c>
      <c r="AO7"/>
      <c r="AP7"/>
      <c r="AQ7" s="52"/>
      <c r="AR7" s="52"/>
    </row>
    <row r="8" spans="1:44" ht="12.6" customHeight="1" x14ac:dyDescent="0.3">
      <c r="A8" s="46" t="s">
        <v>160</v>
      </c>
      <c r="B8" s="46" t="s">
        <v>77</v>
      </c>
      <c r="C8" s="46" t="s">
        <v>160</v>
      </c>
      <c r="D8" s="46" t="s">
        <v>161</v>
      </c>
      <c r="E8" s="66" t="s">
        <v>162</v>
      </c>
      <c r="F8" s="46" t="s">
        <v>163</v>
      </c>
      <c r="G8" s="46" t="s">
        <v>164</v>
      </c>
      <c r="H8" s="46" t="s">
        <v>130</v>
      </c>
      <c r="I8" s="46" t="s">
        <v>131</v>
      </c>
      <c r="J8" s="46" t="s">
        <v>132</v>
      </c>
      <c r="K8" s="46" t="s">
        <v>133</v>
      </c>
      <c r="L8" s="46" t="s">
        <v>134</v>
      </c>
      <c r="M8" s="46" t="s">
        <v>135</v>
      </c>
      <c r="N8" s="46" t="s">
        <v>133</v>
      </c>
      <c r="O8" s="46" t="s">
        <v>133</v>
      </c>
      <c r="P8" s="46" t="s">
        <v>136</v>
      </c>
      <c r="Q8" s="46" t="s">
        <v>137</v>
      </c>
      <c r="R8" s="46" t="s">
        <v>165</v>
      </c>
      <c r="S8" s="47">
        <v>6500</v>
      </c>
      <c r="T8" s="47">
        <v>6500</v>
      </c>
      <c r="U8" s="47"/>
      <c r="V8" s="47"/>
      <c r="W8" s="47"/>
      <c r="X8" s="47"/>
      <c r="Y8" s="47"/>
      <c r="Z8" s="47"/>
      <c r="AA8" s="47">
        <v>638.95000000000005</v>
      </c>
      <c r="AB8" s="47">
        <v>65</v>
      </c>
      <c r="AC8" s="47"/>
      <c r="AD8" s="47">
        <v>672.51</v>
      </c>
      <c r="AE8" s="47">
        <v>1743.95</v>
      </c>
      <c r="AF8" s="47">
        <v>65</v>
      </c>
      <c r="AG8" s="48">
        <v>6500</v>
      </c>
      <c r="AH8" s="49">
        <v>1376.46</v>
      </c>
      <c r="AI8" s="49">
        <v>1808.95</v>
      </c>
      <c r="AJ8" s="50">
        <v>5123.54</v>
      </c>
      <c r="AK8" s="2" t="s">
        <v>147</v>
      </c>
      <c r="AL8"/>
      <c r="AM8" s="43">
        <f t="shared" si="0"/>
        <v>252.85000000000002</v>
      </c>
      <c r="AN8" s="43">
        <f t="shared" si="1"/>
        <v>541.66666666666663</v>
      </c>
      <c r="AO8"/>
      <c r="AP8"/>
      <c r="AQ8" s="52"/>
      <c r="AR8" s="52"/>
    </row>
    <row r="9" spans="1:44" ht="12.6" customHeight="1" x14ac:dyDescent="0.3">
      <c r="A9" s="46" t="s">
        <v>166</v>
      </c>
      <c r="B9" s="46" t="s">
        <v>78</v>
      </c>
      <c r="C9" s="46" t="s">
        <v>166</v>
      </c>
      <c r="D9" s="46" t="s">
        <v>126</v>
      </c>
      <c r="E9" s="66" t="s">
        <v>127</v>
      </c>
      <c r="F9" s="46" t="s">
        <v>128</v>
      </c>
      <c r="G9" s="46" t="s">
        <v>129</v>
      </c>
      <c r="H9" s="46" t="s">
        <v>130</v>
      </c>
      <c r="I9" s="46" t="s">
        <v>131</v>
      </c>
      <c r="J9" s="46" t="s">
        <v>132</v>
      </c>
      <c r="K9" s="46" t="s">
        <v>133</v>
      </c>
      <c r="L9" s="46" t="s">
        <v>134</v>
      </c>
      <c r="M9" s="46" t="s">
        <v>135</v>
      </c>
      <c r="N9" s="46" t="s">
        <v>133</v>
      </c>
      <c r="O9" s="46" t="s">
        <v>133</v>
      </c>
      <c r="P9" s="46" t="s">
        <v>145</v>
      </c>
      <c r="Q9" s="46" t="s">
        <v>145</v>
      </c>
      <c r="R9" s="46" t="s">
        <v>167</v>
      </c>
      <c r="S9" s="47">
        <v>1681000</v>
      </c>
      <c r="T9" s="47">
        <v>1681000</v>
      </c>
      <c r="U9" s="47"/>
      <c r="V9" s="47"/>
      <c r="W9" s="47"/>
      <c r="X9" s="47"/>
      <c r="Y9" s="47"/>
      <c r="Z9" s="47"/>
      <c r="AA9" s="47">
        <v>165242.29999999999</v>
      </c>
      <c r="AB9" s="47">
        <v>16810</v>
      </c>
      <c r="AC9" s="47">
        <v>92999.9</v>
      </c>
      <c r="AD9" s="47"/>
      <c r="AE9" s="47">
        <v>451012.3</v>
      </c>
      <c r="AF9" s="47">
        <v>16810</v>
      </c>
      <c r="AG9" s="48">
        <v>1681000</v>
      </c>
      <c r="AH9" s="49">
        <v>275052.2</v>
      </c>
      <c r="AI9" s="49">
        <v>467822.3</v>
      </c>
      <c r="AJ9" s="50">
        <v>1405947.8</v>
      </c>
      <c r="AK9" s="2" t="s">
        <v>139</v>
      </c>
      <c r="AL9"/>
      <c r="AM9" s="43">
        <f t="shared" si="0"/>
        <v>65390.900000000009</v>
      </c>
      <c r="AN9" s="43">
        <f t="shared" si="1"/>
        <v>140083.33333333334</v>
      </c>
      <c r="AO9"/>
      <c r="AP9"/>
      <c r="AQ9" s="52"/>
      <c r="AR9" s="52"/>
    </row>
    <row r="10" spans="1:44" ht="12.6" customHeight="1" x14ac:dyDescent="0.3">
      <c r="A10" s="46" t="s">
        <v>168</v>
      </c>
      <c r="B10" s="46" t="s">
        <v>79</v>
      </c>
      <c r="C10" s="46" t="s">
        <v>168</v>
      </c>
      <c r="D10" s="46" t="s">
        <v>169</v>
      </c>
      <c r="E10" s="66" t="s">
        <v>170</v>
      </c>
      <c r="F10" s="46" t="s">
        <v>171</v>
      </c>
      <c r="G10" s="46" t="s">
        <v>172</v>
      </c>
      <c r="H10" s="46" t="s">
        <v>130</v>
      </c>
      <c r="I10" s="46" t="s">
        <v>131</v>
      </c>
      <c r="J10" s="46" t="s">
        <v>132</v>
      </c>
      <c r="K10" s="46" t="s">
        <v>133</v>
      </c>
      <c r="L10" s="46" t="s">
        <v>134</v>
      </c>
      <c r="M10" s="46" t="s">
        <v>135</v>
      </c>
      <c r="N10" s="46" t="s">
        <v>133</v>
      </c>
      <c r="O10" s="46" t="s">
        <v>133</v>
      </c>
      <c r="P10" s="46" t="s">
        <v>145</v>
      </c>
      <c r="Q10" s="46" t="s">
        <v>145</v>
      </c>
      <c r="R10" s="46" t="s">
        <v>173</v>
      </c>
      <c r="S10" s="47">
        <v>4167</v>
      </c>
      <c r="T10" s="47">
        <v>4167</v>
      </c>
      <c r="U10" s="47"/>
      <c r="V10" s="47"/>
      <c r="W10" s="47"/>
      <c r="X10" s="47"/>
      <c r="Y10" s="47"/>
      <c r="Z10" s="47"/>
      <c r="AA10" s="47">
        <v>409.62</v>
      </c>
      <c r="AB10" s="47">
        <v>41.67</v>
      </c>
      <c r="AC10" s="47"/>
      <c r="AD10" s="47">
        <v>261.07</v>
      </c>
      <c r="AE10" s="47">
        <v>1118.01</v>
      </c>
      <c r="AF10" s="47">
        <v>41.67</v>
      </c>
      <c r="AG10" s="48">
        <v>4167</v>
      </c>
      <c r="AH10" s="49">
        <v>712.36</v>
      </c>
      <c r="AI10" s="49">
        <v>1159.68</v>
      </c>
      <c r="AJ10" s="50">
        <v>3454.64</v>
      </c>
      <c r="AK10" s="2" t="s">
        <v>147</v>
      </c>
      <c r="AL10"/>
      <c r="AM10" s="43">
        <f t="shared" si="0"/>
        <v>162.09630000000001</v>
      </c>
      <c r="AN10" s="43">
        <f t="shared" si="1"/>
        <v>347.25</v>
      </c>
      <c r="AO10"/>
      <c r="AP10"/>
      <c r="AQ10" s="52"/>
      <c r="AR10" s="52"/>
    </row>
    <row r="11" spans="1:44" ht="12.6" customHeight="1" x14ac:dyDescent="0.3">
      <c r="A11" s="46" t="s">
        <v>174</v>
      </c>
      <c r="B11" s="46" t="s">
        <v>80</v>
      </c>
      <c r="C11" s="46" t="s">
        <v>174</v>
      </c>
      <c r="D11" s="46" t="s">
        <v>175</v>
      </c>
      <c r="E11" s="66" t="s">
        <v>176</v>
      </c>
      <c r="F11" s="46" t="s">
        <v>177</v>
      </c>
      <c r="G11" s="46" t="s">
        <v>178</v>
      </c>
      <c r="H11" s="46" t="s">
        <v>130</v>
      </c>
      <c r="I11" s="46" t="s">
        <v>131</v>
      </c>
      <c r="J11" s="46" t="s">
        <v>132</v>
      </c>
      <c r="K11" s="46" t="s">
        <v>133</v>
      </c>
      <c r="L11" s="46" t="s">
        <v>134</v>
      </c>
      <c r="M11" s="46" t="s">
        <v>135</v>
      </c>
      <c r="N11" s="46" t="s">
        <v>133</v>
      </c>
      <c r="O11" s="46" t="s">
        <v>133</v>
      </c>
      <c r="P11" s="46" t="s">
        <v>145</v>
      </c>
      <c r="Q11" s="46" t="s">
        <v>145</v>
      </c>
      <c r="R11" s="46" t="s">
        <v>179</v>
      </c>
      <c r="S11" s="47">
        <v>1250000</v>
      </c>
      <c r="T11" s="47">
        <v>1250000</v>
      </c>
      <c r="U11" s="47"/>
      <c r="V11" s="47"/>
      <c r="W11" s="47"/>
      <c r="X11" s="47"/>
      <c r="Y11" s="47"/>
      <c r="Z11" s="47"/>
      <c r="AA11" s="47">
        <v>122875</v>
      </c>
      <c r="AB11" s="47">
        <v>12500</v>
      </c>
      <c r="AC11" s="47">
        <v>33200</v>
      </c>
      <c r="AD11" s="47"/>
      <c r="AE11" s="47">
        <v>335375</v>
      </c>
      <c r="AF11" s="47">
        <v>12500</v>
      </c>
      <c r="AG11" s="48">
        <v>1250000</v>
      </c>
      <c r="AH11" s="49">
        <v>168575</v>
      </c>
      <c r="AI11" s="49">
        <v>347875</v>
      </c>
      <c r="AJ11" s="50">
        <v>1081425</v>
      </c>
      <c r="AK11" s="2" t="s">
        <v>139</v>
      </c>
      <c r="AL11"/>
      <c r="AM11" s="43">
        <f t="shared" si="0"/>
        <v>48625.000000000007</v>
      </c>
      <c r="AN11" s="43">
        <f t="shared" si="1"/>
        <v>104166.66666666667</v>
      </c>
      <c r="AO11"/>
      <c r="AP11"/>
      <c r="AQ11" s="52"/>
      <c r="AR11" s="52"/>
    </row>
    <row r="12" spans="1:44" ht="12.6" customHeight="1" x14ac:dyDescent="0.3">
      <c r="A12" s="46" t="s">
        <v>180</v>
      </c>
      <c r="B12" s="46" t="s">
        <v>81</v>
      </c>
      <c r="C12" s="46" t="s">
        <v>180</v>
      </c>
      <c r="D12" s="46" t="s">
        <v>161</v>
      </c>
      <c r="E12" s="66" t="s">
        <v>162</v>
      </c>
      <c r="F12" s="46" t="s">
        <v>181</v>
      </c>
      <c r="G12" s="46" t="s">
        <v>182</v>
      </c>
      <c r="H12" s="46" t="s">
        <v>130</v>
      </c>
      <c r="I12" s="46" t="s">
        <v>131</v>
      </c>
      <c r="J12" s="46" t="s">
        <v>132</v>
      </c>
      <c r="K12" s="46" t="s">
        <v>133</v>
      </c>
      <c r="L12" s="46" t="s">
        <v>134</v>
      </c>
      <c r="M12" s="46" t="s">
        <v>135</v>
      </c>
      <c r="N12" s="46" t="s">
        <v>133</v>
      </c>
      <c r="O12" s="46" t="s">
        <v>133</v>
      </c>
      <c r="P12" s="46" t="s">
        <v>136</v>
      </c>
      <c r="Q12" s="46" t="s">
        <v>137</v>
      </c>
      <c r="R12" s="46" t="s">
        <v>183</v>
      </c>
      <c r="S12" s="47">
        <v>2540768</v>
      </c>
      <c r="T12" s="47">
        <v>2540768</v>
      </c>
      <c r="U12" s="47"/>
      <c r="V12" s="47"/>
      <c r="W12" s="47"/>
      <c r="X12" s="47"/>
      <c r="Y12" s="47"/>
      <c r="Z12" s="47"/>
      <c r="AA12" s="47">
        <v>249757.49</v>
      </c>
      <c r="AB12" s="47">
        <v>25407.68</v>
      </c>
      <c r="AC12" s="47">
        <v>230803.35</v>
      </c>
      <c r="AD12" s="47"/>
      <c r="AE12" s="47">
        <v>681688.05</v>
      </c>
      <c r="AF12" s="47">
        <v>25407.68</v>
      </c>
      <c r="AG12" s="48">
        <v>2540768</v>
      </c>
      <c r="AH12" s="49">
        <v>505968.52</v>
      </c>
      <c r="AI12" s="49">
        <v>707095.73</v>
      </c>
      <c r="AJ12" s="50">
        <v>2034799.48</v>
      </c>
      <c r="AK12" s="2" t="s">
        <v>139</v>
      </c>
      <c r="AL12"/>
      <c r="AM12" s="43">
        <f t="shared" si="0"/>
        <v>98835.875200000009</v>
      </c>
      <c r="AN12" s="43">
        <f t="shared" si="1"/>
        <v>211730.66666666666</v>
      </c>
      <c r="AO12"/>
      <c r="AP12"/>
      <c r="AQ12" s="52"/>
      <c r="AR12" s="52"/>
    </row>
    <row r="13" spans="1:44" ht="12.6" customHeight="1" x14ac:dyDescent="0.3">
      <c r="A13" s="46" t="s">
        <v>184</v>
      </c>
      <c r="B13" s="46" t="s">
        <v>82</v>
      </c>
      <c r="C13" s="46" t="s">
        <v>184</v>
      </c>
      <c r="D13" s="46" t="s">
        <v>185</v>
      </c>
      <c r="E13" s="66" t="s">
        <v>186</v>
      </c>
      <c r="F13" s="46" t="s">
        <v>187</v>
      </c>
      <c r="G13" s="46" t="s">
        <v>188</v>
      </c>
      <c r="H13" s="46" t="s">
        <v>130</v>
      </c>
      <c r="I13" s="46" t="s">
        <v>131</v>
      </c>
      <c r="J13" s="46" t="s">
        <v>132</v>
      </c>
      <c r="K13" s="46" t="s">
        <v>133</v>
      </c>
      <c r="L13" s="46" t="s">
        <v>134</v>
      </c>
      <c r="M13" s="46" t="s">
        <v>135</v>
      </c>
      <c r="N13" s="46" t="s">
        <v>133</v>
      </c>
      <c r="O13" s="46" t="s">
        <v>133</v>
      </c>
      <c r="P13" s="46" t="s">
        <v>145</v>
      </c>
      <c r="Q13" s="46" t="s">
        <v>145</v>
      </c>
      <c r="R13" s="46" t="s">
        <v>189</v>
      </c>
      <c r="S13" s="47">
        <v>10167</v>
      </c>
      <c r="T13" s="47">
        <v>10167</v>
      </c>
      <c r="U13" s="47"/>
      <c r="V13" s="47"/>
      <c r="W13" s="47"/>
      <c r="X13" s="47"/>
      <c r="Y13" s="47">
        <v>879.8</v>
      </c>
      <c r="Z13" s="47"/>
      <c r="AA13" s="47">
        <v>1085.9000000000001</v>
      </c>
      <c r="AB13" s="47">
        <v>110.47</v>
      </c>
      <c r="AC13" s="47"/>
      <c r="AD13" s="47">
        <v>1599.48</v>
      </c>
      <c r="AE13" s="47">
        <v>2936.83</v>
      </c>
      <c r="AF13" s="47">
        <v>110.47</v>
      </c>
      <c r="AG13" s="48">
        <v>11046.8</v>
      </c>
      <c r="AH13" s="49">
        <v>2795.8500000000004</v>
      </c>
      <c r="AI13" s="49">
        <v>3047.2999999999997</v>
      </c>
      <c r="AJ13" s="50">
        <v>8250.9499999999989</v>
      </c>
      <c r="AK13" s="2" t="s">
        <v>147</v>
      </c>
      <c r="AL13"/>
      <c r="AM13" s="43">
        <f t="shared" si="0"/>
        <v>429.72052000000002</v>
      </c>
      <c r="AN13" s="43">
        <f t="shared" si="1"/>
        <v>920.56666666666661</v>
      </c>
      <c r="AO13"/>
      <c r="AP13"/>
      <c r="AQ13" s="52"/>
      <c r="AR13" s="52"/>
    </row>
    <row r="14" spans="1:44" ht="12.6" customHeight="1" x14ac:dyDescent="0.3">
      <c r="A14" s="46" t="s">
        <v>190</v>
      </c>
      <c r="B14" s="46" t="s">
        <v>83</v>
      </c>
      <c r="C14" s="46" t="s">
        <v>190</v>
      </c>
      <c r="D14" s="46" t="s">
        <v>191</v>
      </c>
      <c r="E14" s="66" t="s">
        <v>192</v>
      </c>
      <c r="F14" s="46" t="s">
        <v>193</v>
      </c>
      <c r="G14" s="46" t="s">
        <v>194</v>
      </c>
      <c r="H14" s="46" t="s">
        <v>130</v>
      </c>
      <c r="I14" s="46" t="s">
        <v>131</v>
      </c>
      <c r="J14" s="46" t="s">
        <v>132</v>
      </c>
      <c r="K14" s="46" t="s">
        <v>133</v>
      </c>
      <c r="L14" s="46" t="s">
        <v>134</v>
      </c>
      <c r="M14" s="46" t="s">
        <v>135</v>
      </c>
      <c r="N14" s="46" t="s">
        <v>133</v>
      </c>
      <c r="O14" s="46" t="s">
        <v>133</v>
      </c>
      <c r="P14" s="46" t="s">
        <v>145</v>
      </c>
      <c r="Q14" s="46" t="s">
        <v>145</v>
      </c>
      <c r="R14" s="46" t="s">
        <v>195</v>
      </c>
      <c r="S14" s="47">
        <v>9188</v>
      </c>
      <c r="T14" s="47">
        <v>9188</v>
      </c>
      <c r="U14" s="47"/>
      <c r="V14" s="47"/>
      <c r="W14" s="47"/>
      <c r="X14" s="47">
        <v>700</v>
      </c>
      <c r="Y14" s="47"/>
      <c r="Z14" s="47"/>
      <c r="AA14" s="47">
        <v>971.99</v>
      </c>
      <c r="AB14" s="47">
        <v>98.88</v>
      </c>
      <c r="AC14" s="47"/>
      <c r="AD14" s="47">
        <v>1350.11</v>
      </c>
      <c r="AE14" s="47">
        <v>2652.95</v>
      </c>
      <c r="AF14" s="47">
        <v>98.88</v>
      </c>
      <c r="AG14" s="48">
        <v>9888</v>
      </c>
      <c r="AH14" s="49">
        <v>2420.98</v>
      </c>
      <c r="AI14" s="49">
        <v>2751.83</v>
      </c>
      <c r="AJ14" s="50">
        <v>7467.02</v>
      </c>
      <c r="AK14" s="2" t="s">
        <v>147</v>
      </c>
      <c r="AL14"/>
      <c r="AM14" s="43">
        <f t="shared" si="0"/>
        <v>384.64320000000004</v>
      </c>
      <c r="AN14" s="43">
        <f t="shared" si="1"/>
        <v>824</v>
      </c>
      <c r="AO14"/>
      <c r="AP14"/>
      <c r="AQ14" s="52"/>
      <c r="AR14" s="52"/>
    </row>
    <row r="15" spans="1:44" ht="12.6" customHeight="1" x14ac:dyDescent="0.3">
      <c r="A15" s="46" t="s">
        <v>196</v>
      </c>
      <c r="B15" s="46" t="s">
        <v>84</v>
      </c>
      <c r="C15" s="46" t="s">
        <v>196</v>
      </c>
      <c r="D15" s="46" t="s">
        <v>197</v>
      </c>
      <c r="E15" s="66" t="s">
        <v>198</v>
      </c>
      <c r="F15" s="46" t="s">
        <v>199</v>
      </c>
      <c r="G15" s="46" t="s">
        <v>200</v>
      </c>
      <c r="H15" s="46" t="s">
        <v>130</v>
      </c>
      <c r="I15" s="46" t="s">
        <v>131</v>
      </c>
      <c r="J15" s="46" t="s">
        <v>132</v>
      </c>
      <c r="K15" s="46" t="s">
        <v>133</v>
      </c>
      <c r="L15" s="46" t="s">
        <v>134</v>
      </c>
      <c r="M15" s="46" t="s">
        <v>135</v>
      </c>
      <c r="N15" s="46" t="s">
        <v>133</v>
      </c>
      <c r="O15" s="46" t="s">
        <v>133</v>
      </c>
      <c r="P15" s="46" t="s">
        <v>145</v>
      </c>
      <c r="Q15" s="46" t="s">
        <v>145</v>
      </c>
      <c r="R15" s="46" t="s">
        <v>201</v>
      </c>
      <c r="S15" s="47">
        <v>989384</v>
      </c>
      <c r="T15" s="47">
        <v>989384</v>
      </c>
      <c r="U15" s="47"/>
      <c r="V15" s="47"/>
      <c r="W15" s="47"/>
      <c r="X15" s="47"/>
      <c r="Y15" s="47"/>
      <c r="Z15" s="47"/>
      <c r="AA15" s="47">
        <v>97256.45</v>
      </c>
      <c r="AB15" s="47">
        <v>9893.84</v>
      </c>
      <c r="AC15" s="47">
        <v>7138.4</v>
      </c>
      <c r="AD15" s="47"/>
      <c r="AE15" s="47">
        <v>265451.73</v>
      </c>
      <c r="AF15" s="47">
        <v>9893.84</v>
      </c>
      <c r="AG15" s="48">
        <v>989384</v>
      </c>
      <c r="AH15" s="49">
        <v>114288.69</v>
      </c>
      <c r="AI15" s="49">
        <v>275345.57</v>
      </c>
      <c r="AJ15" s="50">
        <v>875095.31</v>
      </c>
      <c r="AK15" s="2" t="s">
        <v>139</v>
      </c>
      <c r="AL15"/>
      <c r="AM15" s="43">
        <f t="shared" si="0"/>
        <v>38487.037600000003</v>
      </c>
      <c r="AN15" s="43">
        <f t="shared" si="1"/>
        <v>82448.666666666672</v>
      </c>
      <c r="AO15"/>
      <c r="AP15"/>
      <c r="AQ15" s="52"/>
      <c r="AR15" s="52"/>
    </row>
    <row r="16" spans="1:44" ht="12.6" customHeight="1" x14ac:dyDescent="0.3">
      <c r="A16" s="46" t="s">
        <v>202</v>
      </c>
      <c r="B16" s="46" t="s">
        <v>85</v>
      </c>
      <c r="C16" s="46" t="s">
        <v>202</v>
      </c>
      <c r="D16" s="46" t="s">
        <v>203</v>
      </c>
      <c r="E16" s="66" t="s">
        <v>204</v>
      </c>
      <c r="F16" s="46" t="s">
        <v>205</v>
      </c>
      <c r="G16" s="46" t="s">
        <v>206</v>
      </c>
      <c r="H16" s="46" t="s">
        <v>130</v>
      </c>
      <c r="I16" s="46" t="s">
        <v>131</v>
      </c>
      <c r="J16" s="46" t="s">
        <v>132</v>
      </c>
      <c r="K16" s="46" t="s">
        <v>133</v>
      </c>
      <c r="L16" s="46" t="s">
        <v>134</v>
      </c>
      <c r="M16" s="46" t="s">
        <v>135</v>
      </c>
      <c r="N16" s="46" t="s">
        <v>133</v>
      </c>
      <c r="O16" s="46" t="s">
        <v>133</v>
      </c>
      <c r="P16" s="46" t="s">
        <v>145</v>
      </c>
      <c r="Q16" s="46" t="s">
        <v>145</v>
      </c>
      <c r="R16" s="46" t="s">
        <v>207</v>
      </c>
      <c r="S16" s="47">
        <v>1000000</v>
      </c>
      <c r="T16" s="47">
        <v>1000000</v>
      </c>
      <c r="U16" s="47"/>
      <c r="V16" s="47"/>
      <c r="W16" s="47"/>
      <c r="X16" s="47"/>
      <c r="Y16" s="47"/>
      <c r="Z16" s="47"/>
      <c r="AA16" s="47">
        <v>98300</v>
      </c>
      <c r="AB16" s="47">
        <v>10000</v>
      </c>
      <c r="AC16" s="47">
        <v>8921.16</v>
      </c>
      <c r="AD16" s="47"/>
      <c r="AE16" s="47">
        <v>268300</v>
      </c>
      <c r="AF16" s="47">
        <v>10000</v>
      </c>
      <c r="AG16" s="48">
        <v>1000000</v>
      </c>
      <c r="AH16" s="49">
        <v>117221.16</v>
      </c>
      <c r="AI16" s="49">
        <v>278300</v>
      </c>
      <c r="AJ16" s="50">
        <v>882778.84</v>
      </c>
      <c r="AK16" s="2" t="s">
        <v>139</v>
      </c>
      <c r="AL16"/>
      <c r="AM16" s="43">
        <f t="shared" si="0"/>
        <v>38900.000000000007</v>
      </c>
      <c r="AN16" s="43">
        <f t="shared" si="1"/>
        <v>83333.333333333328</v>
      </c>
      <c r="AO16"/>
      <c r="AP16"/>
      <c r="AQ16" s="52"/>
      <c r="AR16" s="52"/>
    </row>
    <row r="17" spans="1:4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</sheetData>
  <autoFilter ref="A3:AR16" xr:uid="{00000000-0001-0000-0000-000000000000}"/>
  <mergeCells count="4">
    <mergeCell ref="AG1:AJ1"/>
    <mergeCell ref="AG2:AJ2"/>
    <mergeCell ref="A1:A2"/>
    <mergeCell ref="T1:AF2"/>
  </mergeCells>
  <pageMargins left="0.39370078740157499" right="0.39370078740157499" top="0.39370078740157499" bottom="0.63062598425196903" header="0.39370078740157499" footer="0.39370078740157499"/>
  <pageSetup paperSize="9" orientation="landscape" horizontalDpi="300" verticalDpi="300"/>
  <headerFooter alignWithMargins="0">
    <oddFooter>&amp;C&amp;"Tahoma,Regular"&amp;7Página :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InvoiceDetails</vt:lpstr>
      <vt:lpstr>rpt_InformeNominaMes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Erika Yulieth Letrado Gonzalez - PrestServ</dc:creator>
  <cp:keywords/>
  <dc:description/>
  <cp:lastModifiedBy>Cristian Parada</cp:lastModifiedBy>
  <cp:revision/>
  <dcterms:created xsi:type="dcterms:W3CDTF">2024-11-07T13:20:38Z</dcterms:created>
  <dcterms:modified xsi:type="dcterms:W3CDTF">2026-06-03T15:59:01Z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