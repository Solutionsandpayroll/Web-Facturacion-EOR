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nvoiceDetails" state="visible" r:id="rId4"/>
  </sheets>
  <definedNames>
    <definedName name="_xlnm._FilterDatabase">InvoiceDetails!$A$3:$BB$3</definedName>
  </definedNames>
  <calcPr calcId="171027"/>
</workbook>
</file>

<file path=xl/sharedStrings.xml><?xml version="1.0" encoding="utf-8"?>
<sst xmlns="http://schemas.openxmlformats.org/spreadsheetml/2006/main" count="65" uniqueCount="59">
  <si>
    <t>COST REPORT</t>
  </si>
  <si>
    <t>EMPLOYER COST</t>
  </si>
  <si>
    <t>OTHER EMPLOYER COST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</si>
  <si>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</si>
  <si>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</si>
  <si>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</si>
  <si>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</si>
  <si>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</si>
  <si>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</si>
  <si>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</si>
  <si>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</si>
  <si>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Customer ID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</si>
  <si>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</si>
  <si>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</si>
  <si>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</si>
  <si>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</si>
  <si>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</si>
  <si>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</si>
  <si>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</si>
  <si>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</si>
  <si>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</si>
  <si>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</si>
  <si>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</si>
  <si>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</si>
  <si>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</si>
  <si>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</si>
  <si>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</si>
  <si>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Holidays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</si>
  <si>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</si>
  <si>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</si>
  <si>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</si>
  <si>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</si>
  <si>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</si>
  <si>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</si>
  <si>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</si>
  <si>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</si>
  <si>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BASIC</t>
  </si>
  <si>
    <t>X100 - APORTE SEG SOCIAL EMPLEADOR</t>
  </si>
  <si>
    <t>X200 - APORTE INS EMPLEADOR</t>
  </si>
  <si>
    <t>13TH MONTH (AGUINALDO)</t>
  </si>
  <si>
    <t>TOTAL</t>
  </si>
  <si>
    <t>OTHER</t>
  </si>
  <si>
    <t>HEALT INSURANCE</t>
  </si>
  <si>
    <t>EXPENSES REIMBURSEMENT</t>
  </si>
  <si>
    <t>TOTAL EMPLOYEE COST</t>
  </si>
  <si>
    <t>FEE</t>
  </si>
  <si>
    <t>BANKING TAX</t>
  </si>
  <si>
    <t>604810574</t>
  </si>
  <si>
    <t/>
  </si>
  <si>
    <t>GEANINA VILLALOBOS MOLINA</t>
  </si>
  <si>
    <t>01/09/2025</t>
  </si>
  <si>
    <t>onboarding</t>
  </si>
  <si>
    <t>Costa Rica</t>
  </si>
  <si>
    <t>BIPO SANY</t>
  </si>
  <si>
    <t>Diciembre, 2026</t>
  </si>
  <si>
    <t>Monthly Payroll</t>
  </si>
  <si>
    <t>27,83%</t>
  </si>
  <si>
    <t>TOTALES</t>
  </si>
  <si>
    <r>
      <t xml:space="preserve">Payroll </t>
    </r>
    <r>
      <rPr>
        <b/>
        <color rgb="FFFF0000"/>
        <family val="2"/>
        <sz val="11"/>
        <rFont val="Calibri"/>
      </rPr>
      <t>Adjustments</t>
    </r>
    <r>
      <rPr>
        <b/>
        <family val="2"/>
        <sz val="11"/>
        <rFont val="Calibri"/>
      </rPr>
      <t xml:space="preserve"> (Previous months) Breakdown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</si>
</sst>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&quot;, &quot;yyyy"/>
    <numFmt numFmtId="165" formatCode="_-* #,##0.00_-;-* #,##0.00_-;_-* &quot;-&quot;??_-;_-@_-"/>
    <numFmt numFmtId="166" formatCode="[$-10C0A]#,##0.00;(#,##0.00)"/>
    <numFmt numFmtId="167" formatCode="[$-10C0A]#,##0;(#,##0)"/>
  </numFmts>
  <fonts count="14" x14ac:knownFonts="1">
    <font>
      <color theme="1"/>
      <family val="2"/>
      <scheme val="minor"/>
      <sz val="11"/>
      <name val="Calibri"/>
    </font>
    <font>
      <family val="2"/>
      <sz val="11"/>
      <name val="Calibri"/>
    </font>
    <font>
      <color theme="1"/>
      <family val="2"/>
      <sz val="10"/>
      <name val="Calibri"/>
    </font>
    <font>
      <color rgb="FF1C3A70"/>
      <family val="2"/>
      <sz val="14"/>
      <name val="Tahoma"/>
    </font>
    <font>
      <color theme="1"/>
      <family val="2"/>
      <sz val="10"/>
      <name val="Arial"/>
    </font>
    <font>
      <color rgb="FF000000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z val="10"/>
      <name val="Tahoma"/>
    </font>
    <font>
      <b/>
      <color theme="0"/>
      <family val="2"/>
      <sz val="11"/>
      <name val="Calibri"/>
    </font>
    <font>
      <b/>
      <color rgb="FFFFFFFF"/>
      <family val="2"/>
      <sz val="7"/>
      <name val="Tahoma"/>
    </font>
    <font>
      <color rgb="FF000000"/>
      <family val="2"/>
      <sz val="7"/>
      <name val="Tahoma"/>
    </font>
    <font>
      <color theme="1"/>
      <family val="2"/>
      <sz val="7"/>
      <name val="Tahoma"/>
    </font>
    <font>
      <b/>
      <color rgb="FF000000"/>
      <family val="2"/>
      <sz val="7"/>
      <name val="Tahoma"/>
    </font>
    <font>
      <b/>
      <family val="2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CFAFA"/>
        <bgColor rgb="FFDCFAFA"/>
      </patternFill>
    </fill>
  </fills>
  <borders count="8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9" fillId="4" borderId="6" xfId="0" applyFont="1" applyFill="1" applyBorder="1" applyAlignment="1">
      <alignment horizontal="center" vertical="center" wrapText="1" readingOrder="1"/>
    </xf>
    <xf numFmtId="0" fontId="9" fillId="4" borderId="6" xfId="0" applyFont="1" applyFill="1" applyBorder="1" applyAlignment="1">
      <alignment horizontal="center" vertical="center" readingOrder="1"/>
    </xf>
    <xf numFmtId="0" fontId="9" fillId="5" borderId="6" xfId="0" applyFont="1" applyFill="1" applyBorder="1" applyAlignment="1">
      <alignment horizontal="center" vertical="center" wrapText="1" readingOrder="1"/>
    </xf>
    <xf numFmtId="0" fontId="9" fillId="4" borderId="7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9" fillId="4" borderId="6" xfId="0" applyFont="1" applyFill="1" applyBorder="1" applyAlignment="1">
      <alignment horizontal="center" vertical="top" wrapText="1" readingOrder="1"/>
    </xf>
    <xf numFmtId="0" fontId="9" fillId="4" borderId="7" xfId="0" applyFont="1" applyFill="1" applyBorder="1" applyAlignment="1">
      <alignment horizontal="center" vertical="top" wrapText="1" readingOrder="1"/>
    </xf>
    <xf numFmtId="0" fontId="10" fillId="0" borderId="6" xfId="0" applyFont="1" applyBorder="1" applyAlignment="1">
      <alignment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14" fontId="10" fillId="0" borderId="6" xfId="0" applyNumberFormat="1" applyFont="1" applyBorder="1" applyAlignment="1">
      <alignment vertical="center" wrapText="1" readingOrder="1"/>
    </xf>
    <xf numFmtId="0" fontId="10" fillId="0" borderId="6" xfId="0" applyFont="1" applyBorder="1" applyAlignment="1">
      <alignment vertical="center" readingOrder="1"/>
    </xf>
    <xf numFmtId="0" fontId="11" fillId="0" borderId="6" xfId="0" applyFont="1" applyBorder="1" applyAlignment="1">
      <alignment horizontal="center" vertical="center" readingOrder="1"/>
    </xf>
    <xf numFmtId="164" fontId="10" fillId="0" borderId="6" xfId="0" applyNumberFormat="1" applyFont="1" applyBorder="1" applyAlignment="1">
      <alignment vertical="center" wrapText="1" readingOrder="1"/>
    </xf>
    <xf numFmtId="10" fontId="10" fillId="0" borderId="6" xfId="0" applyNumberFormat="1" applyFont="1" applyBorder="1" applyAlignment="1">
      <alignment vertical="center" readingOrder="1"/>
    </xf>
    <xf numFmtId="165" fontId="10" fillId="0" borderId="6" xfId="0" applyNumberFormat="1" applyFont="1" applyBorder="1" applyAlignment="1">
      <alignment horizontal="right" vertical="center" wrapText="1" readingOrder="1"/>
    </xf>
    <xf numFmtId="166" fontId="10" fillId="6" borderId="6" xfId="0" applyNumberFormat="1" applyFont="1" applyFill="1" applyBorder="1" applyAlignment="1">
      <alignment horizontal="right" vertical="center" wrapText="1" readingOrder="1"/>
    </xf>
    <xf numFmtId="167" fontId="10" fillId="0" borderId="0" xfId="0" applyNumberFormat="1" applyFont="1" applyAlignment="1">
      <alignment horizontal="right" vertical="center" wrapText="1" readingOrder="1"/>
    </xf>
    <xf numFmtId="166" fontId="10" fillId="0" borderId="6" xfId="0" applyNumberFormat="1" applyFont="1" applyBorder="1" applyAlignment="1">
      <alignment horizontal="right" vertical="center" wrapText="1" readingOrder="1"/>
    </xf>
    <xf numFmtId="167" fontId="10" fillId="0" borderId="6" xfId="0" applyNumberFormat="1" applyFont="1" applyBorder="1" applyAlignment="1">
      <alignment horizontal="right" vertical="center" wrapText="1" readingOrder="1"/>
    </xf>
    <xf numFmtId="166" fontId="10" fillId="7" borderId="6" xfId="0" applyNumberFormat="1" applyFont="1" applyFill="1" applyBorder="1" applyAlignment="1">
      <alignment horizontal="right" vertical="center" wrapText="1" readingOrder="1"/>
    </xf>
    <xf numFmtId="0" fontId="10" fillId="0" borderId="0" xfId="0" applyFont="1" applyAlignment="1">
      <alignment vertical="center" wrapText="1" readingOrder="1"/>
    </xf>
    <xf numFmtId="0" fontId="12" fillId="0" borderId="6" xfId="0" applyFont="1" applyBorder="1" applyAlignment="1">
      <alignment horizontal="left" vertical="center" wrapText="1" readingOrder="1"/>
    </xf>
    <xf numFmtId="0" fontId="12" fillId="0" borderId="6" xfId="0" applyFont="1" applyBorder="1" applyAlignment="1">
      <alignment horizontal="left" vertical="center" readingOrder="1"/>
    </xf>
    <xf numFmtId="166" fontId="10" fillId="8" borderId="6" xfId="0" applyNumberFormat="1" applyFont="1" applyFill="1" applyBorder="1" applyAlignment="1">
      <alignment horizontal="right" vertical="center" wrapText="1" readingOrder="1"/>
    </xf>
    <xf numFmtId="0" fontId="12" fillId="8" borderId="6" xfId="0" applyFont="1" applyFill="1" applyBorder="1" applyAlignment="1">
      <alignment horizontal="right" vertical="top" wrapText="1" readingOrder="1"/>
    </xf>
    <xf numFmtId="0" fontId="13" fillId="0" borderId="0" xfId="0" applyFont="1"/>
    <xf numFmtId="167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E20"/>
  <sheetViews>
    <sheetView workbookViewId="0" showGridLines="0" zoomScale="100" zoomScaleNormal="100">
      <pane xSplit="4" ySplit="3" topLeftCell="E4" activePane="bottomRight" state="frozen"/>
      <selection pane="bottomRight" activeCell="D21" sqref="D21"/>
    </sheetView>
  </sheetViews>
  <sheetFormatPr defaultRowHeight="14.4" outlineLevelRow="0" outlineLevelCol="0" x14ac:dyDescent="0.3" defaultColWidth="9.109375" customHeight="1"/>
  <cols>
    <col min="1" max="2" width="10.33203125" style="1" customWidth="1"/>
    <col min="3" max="3" width="33.6640625" style="1" customWidth="1"/>
    <col min="4" max="4" width="14.44140625" style="1" customWidth="1"/>
    <col min="5" max="5" width="14.6640625" style="1" customWidth="1"/>
    <col min="6" max="6" width="20.109375" style="1" customWidth="1"/>
    <col min="7" max="7" width="11.88671875" style="1" customWidth="1"/>
    <col min="8" max="8" width="32.88671875" style="1" customWidth="1"/>
    <col min="9" max="9" width="10.5546875" style="1" customWidth="1"/>
    <col min="10" max="10" width="11.88671875" style="1" customWidth="1"/>
    <col min="11" max="11" width="12.33203125" style="1" customWidth="1"/>
    <col min="12" max="12" width="11" style="1" customWidth="1"/>
    <col min="13" max="13" width="10" style="1" customWidth="1"/>
    <col min="14" max="14" width="12.109375" style="1" customWidth="1"/>
    <col min="15" max="17" width="10" style="1" customWidth="1"/>
    <col min="18" max="18" width="12.109375" style="1" customWidth="1"/>
    <col min="19" max="19" width="15.6640625" style="1" customWidth="1"/>
    <col min="20" max="20" width="14.33203125" style="1" customWidth="1"/>
    <col min="21" max="21" width="15.6640625" style="1" customWidth="1"/>
    <col min="22" max="32" width="12.6640625" style="1" customWidth="1"/>
    <col min="33" max="33" width="11.33203125" style="1" customWidth="1"/>
    <col min="34" max="37" width="12.5546875" style="1" customWidth="1"/>
    <col min="38" max="38" width="11.5546875" style="1" customWidth="1"/>
    <col min="39" max="39" width="9.109375" style="1" customWidth="1"/>
    <col min="40" max="40" width="9.88671875" style="1" customWidth="1"/>
    <col min="41" max="41" width="9.5546875" style="1" customWidth="1"/>
    <col min="42" max="42" width="12.6640625" style="1" customWidth="1"/>
    <col min="43" max="43" width="8.88671875" style="1" customWidth="1"/>
    <col min="44" max="45" width="10.88671875" style="1" customWidth="1"/>
    <col min="46" max="46" width="15" style="1" customWidth="1"/>
    <col min="47" max="47" width="9" style="1" customWidth="1"/>
    <col min="48" max="48" width="12.5546875" style="1" customWidth="1"/>
    <col min="49" max="49" width="11.5546875" style="1" customWidth="1"/>
    <col min="50" max="50" width="8.44140625" style="1" customWidth="1"/>
    <col min="51" max="51" width="8.88671875" style="1" customWidth="1"/>
    <col min="52" max="52" width="11.33203125" style="1" customWidth="1"/>
    <col min="53" max="53" width="34.33203125" style="1" hidden="1" customWidth="1"/>
    <col min="54" max="54" style="1" hidden="1" customWidth="1"/>
    <col min="55" max="16380" width="9.109375" style="1" customWidth="1"/>
  </cols>
  <sheetData>
    <row r="1" ht="17.4" customHeight="1" spans="1:56" x14ac:dyDescent="0.25">
      <c r="A1" s="2"/>
      <c r="B1" s="2"/>
      <c r="C1" s="3" t="s">
        <v>0</v>
      </c>
      <c r="D1" s="3"/>
      <c r="E1" s="3"/>
      <c r="F1" s="3"/>
      <c r="G1" s="3"/>
      <c r="H1" s="4"/>
      <c r="I1" s="4"/>
      <c r="J1" s="4"/>
      <c r="K1" s="4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5"/>
      <c r="AH1" s="6"/>
      <c r="AI1" s="6"/>
      <c r="AJ1" s="6"/>
      <c r="AK1" s="6"/>
      <c r="AL1" s="6"/>
      <c r="AM1" s="7"/>
      <c r="AN1" s="6"/>
      <c r="AO1" s="6"/>
      <c r="AP1" s="6"/>
      <c r="AQ1" s="6"/>
      <c r="AR1" s="6"/>
      <c r="AS1" s="6"/>
      <c r="AT1" s="6"/>
      <c r="AU1" s="7"/>
      <c r="AV1" s="6"/>
      <c r="AW1" s="6"/>
      <c r="AX1" s="6"/>
      <c r="AY1" s="6"/>
      <c r="AZ1" s="6"/>
    </row>
    <row r="2" spans="1:5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8"/>
      <c r="AH2" s="9"/>
      <c r="AI2" s="10" t="s">
        <v>1</v>
      </c>
      <c r="AJ2" s="10"/>
      <c r="AK2" s="10"/>
      <c r="AL2" s="10"/>
      <c r="AM2" s="10"/>
      <c r="AN2" s="9"/>
      <c r="AO2" s="11" t="s">
        <v>2</v>
      </c>
      <c r="AP2" s="12"/>
      <c r="AQ2" s="12"/>
      <c r="AR2" s="12"/>
      <c r="AS2" s="12"/>
      <c r="AT2" s="12"/>
      <c r="AU2" s="13"/>
      <c r="AV2" s="9"/>
      <c r="AW2" s="11"/>
      <c r="AX2" s="14"/>
      <c r="AY2" s="14"/>
      <c r="AZ2" s="14"/>
      <c r="BA2"/>
      <c r="BB2"/>
      <c r="BC2"/>
      <c r="BD2"/>
    </row>
    <row r="3" ht="48.75" customHeight="1" spans="1:56" x14ac:dyDescent="0.25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6" t="s">
        <v>10</v>
      </c>
      <c r="I3" s="16" t="s">
        <v>11</v>
      </c>
      <c r="J3" s="16" t="s">
        <v>12</v>
      </c>
      <c r="K3" s="15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15" t="s">
        <v>18</v>
      </c>
      <c r="Q3" s="15" t="s">
        <v>19</v>
      </c>
      <c r="R3" s="17" t="s">
        <v>20</v>
      </c>
      <c r="S3" s="17" t="s">
        <v>21</v>
      </c>
      <c r="T3" s="18" t="s">
        <v>22</v>
      </c>
      <c r="U3" s="18" t="s">
        <v>23</v>
      </c>
      <c r="V3" s="15" t="s">
        <v>24</v>
      </c>
      <c r="W3" s="18" t="s">
        <v>25</v>
      </c>
      <c r="X3" s="18" t="s">
        <v>26</v>
      </c>
      <c r="Y3" s="18" t="s">
        <v>27</v>
      </c>
      <c r="Z3" s="18" t="s">
        <v>28</v>
      </c>
      <c r="AA3" s="18" t="s">
        <v>29</v>
      </c>
      <c r="AB3" s="18" t="s">
        <v>30</v>
      </c>
      <c r="AC3" s="18" t="s">
        <v>31</v>
      </c>
      <c r="AD3" s="18" t="s">
        <v>32</v>
      </c>
      <c r="AE3" s="18" t="s">
        <v>33</v>
      </c>
      <c r="AF3" s="18" t="s">
        <v>34</v>
      </c>
      <c r="AG3" s="15" t="s">
        <v>35</v>
      </c>
      <c r="AH3" s="19"/>
      <c r="AI3" s="20" t="s">
        <v>36</v>
      </c>
      <c r="AJ3" s="21" t="s">
        <v>37</v>
      </c>
      <c r="AK3" s="21" t="s">
        <v>38</v>
      </c>
      <c r="AL3" s="21" t="s">
        <v>39</v>
      </c>
      <c r="AM3" s="21" t="s">
        <v>40</v>
      </c>
      <c r="AN3" s="19"/>
      <c r="AO3" s="18" t="s">
        <v>41</v>
      </c>
      <c r="AP3" s="18" t="s">
        <v>41</v>
      </c>
      <c r="AQ3" s="18" t="s">
        <v>41</v>
      </c>
      <c r="AR3" s="18" t="s">
        <v>41</v>
      </c>
      <c r="AS3" s="21" t="s">
        <v>42</v>
      </c>
      <c r="AT3" s="21" t="s">
        <v>43</v>
      </c>
      <c r="AU3" s="18" t="s">
        <v>40</v>
      </c>
      <c r="AV3" s="19"/>
      <c r="AW3" s="18" t="s">
        <v>44</v>
      </c>
      <c r="AX3" s="18" t="s">
        <v>45</v>
      </c>
      <c r="AY3" s="18" t="s">
        <v>46</v>
      </c>
      <c r="AZ3" s="18" t="s">
        <v>40</v>
      </c>
    </row>
    <row r="4" spans="1:57" x14ac:dyDescent="0.25">
      <c r="A4" s="22" t="s">
        <v>47</v>
      </c>
      <c r="B4" s="23" t="s">
        <v>48</v>
      </c>
      <c r="C4" s="22" t="s">
        <v>49</v>
      </c>
      <c r="D4" s="24" t="s">
        <v>50</v>
      </c>
      <c r="E4" s="24"/>
      <c r="F4" s="22" t="s">
        <v>51</v>
      </c>
      <c r="G4" s="22" t="s">
        <v>52</v>
      </c>
      <c r="H4" s="25" t="s">
        <v>53</v>
      </c>
      <c r="I4" s="26" t="s">
        <v>48</v>
      </c>
      <c r="J4" s="27" t="s">
        <v>54</v>
      </c>
      <c r="K4" s="25" t="s">
        <v>55</v>
      </c>
      <c r="L4" s="28" t="s">
        <v>56</v>
      </c>
      <c r="M4" s="29">
        <v>1000000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>
        <f>SUM(M4:AF4)</f>
      </c>
      <c r="AH4" s="31"/>
      <c r="AI4" s="32">
        <v>1000000</v>
      </c>
      <c r="AJ4" s="29">
        <v>268300</v>
      </c>
      <c r="AK4" s="29">
        <v>10000</v>
      </c>
      <c r="AL4" s="29">
        <v>83333.33</v>
      </c>
      <c r="AM4" s="30">
        <f>SUM(AJ4:AL4)</f>
      </c>
      <c r="AO4" s="33"/>
      <c r="AP4" s="33"/>
      <c r="AQ4" s="33"/>
      <c r="AR4" s="33"/>
      <c r="AS4" s="33"/>
      <c r="AT4" s="33"/>
      <c r="AU4" s="34">
        <f>SUM(AO4:AT4)</f>
      </c>
      <c r="AV4" s="31"/>
      <c r="AW4" s="32">
        <f>AG4+AM4+AU4+AY4</f>
      </c>
      <c r="AX4" s="32">
        <f>135*442</f>
      </c>
      <c r="AY4" s="32">
        <f>25*442</f>
      </c>
      <c r="AZ4" s="32">
        <f>AW4+AX4</f>
      </c>
      <c r="BA4" s="35"/>
    </row>
    <row r="5" spans="1:56" x14ac:dyDescent="0.25">
      <c r="A5" s="36"/>
      <c r="B5" s="36"/>
      <c r="C5" s="22"/>
      <c r="D5" s="36"/>
      <c r="E5" s="36"/>
      <c r="F5" s="36"/>
      <c r="G5" s="36"/>
      <c r="H5" s="37" t="s">
        <v>57</v>
      </c>
      <c r="I5" s="37"/>
      <c r="J5" s="37"/>
      <c r="K5" s="37"/>
      <c r="L5" s="37"/>
      <c r="M5" s="38">
        <f>SUM(M4:M4)</f>
      </c>
      <c r="N5" s="38">
        <f>SUM(N4:N4)</f>
      </c>
      <c r="O5" s="38">
        <f>SUM(O4:O4)</f>
      </c>
      <c r="P5" s="38">
        <f>SUM(P4:P4)</f>
      </c>
      <c r="Q5" s="38">
        <f>SUM(Q4:Q4)</f>
      </c>
      <c r="R5" s="38">
        <f>SUM(R4:R4)</f>
      </c>
      <c r="S5" s="38">
        <f>SUM(S4:S4)</f>
      </c>
      <c r="T5" s="38">
        <f>SUM(T4:T4)</f>
      </c>
      <c r="U5" s="38">
        <f>SUM(U4:U4)</f>
      </c>
      <c r="V5" s="38">
        <f>SUM(V4:V4)</f>
      </c>
      <c r="W5" s="38">
        <f>SUM(W4:W4)</f>
      </c>
      <c r="X5" s="38">
        <f>SUM(X4:X4)</f>
      </c>
      <c r="Y5" s="38">
        <f>SUM(Y4:Y4)</f>
      </c>
      <c r="Z5" s="38">
        <f>SUM(Z4:Z4)</f>
      </c>
      <c r="AA5" s="38">
        <f>SUM(AA4:AA4)</f>
      </c>
      <c r="AB5" s="38">
        <f>SUM(AB4:AB4)</f>
      </c>
      <c r="AC5" s="38">
        <f>SUM(AC4:AC4)</f>
      </c>
      <c r="AD5" s="38">
        <f>SUM(AD4:AD4)</f>
      </c>
      <c r="AE5" s="38">
        <f>SUM(AE4:AE4)</f>
      </c>
      <c r="AF5" s="38">
        <f>SUM(AF4:AF4)</f>
      </c>
      <c r="AG5" s="38">
        <f>SUM(AG4:AG4)</f>
      </c>
      <c r="AH5" s="31"/>
      <c r="AI5" s="39">
        <f>SUM(AI4:AI4)</f>
      </c>
      <c r="AJ5" s="38">
        <f>SUM(AJ4:AJ4)</f>
      </c>
      <c r="AK5" s="38">
        <f>SUM(AK4:AK4)</f>
      </c>
      <c r="AL5" s="38">
        <f>SUM(AL4:AL4)</f>
      </c>
      <c r="AM5" s="38">
        <f>SUM(AM4:AM4)</f>
      </c>
      <c r="AN5" s="1"/>
      <c r="AO5" s="38">
        <f>SUM(AO4:AO4)</f>
      </c>
      <c r="AP5" s="38">
        <f>SUM(AP4:AP4)</f>
      </c>
      <c r="AQ5" s="38">
        <f>SUM(AQ4:AQ4)</f>
      </c>
      <c r="AR5" s="38">
        <f>SUM(AR4:AR4)</f>
      </c>
      <c r="AS5" s="38">
        <f>SUM(AS4:AS4)</f>
      </c>
      <c r="AT5" s="38">
        <f>SUM(AT4:AT4)</f>
      </c>
      <c r="AU5" s="38">
        <f>SUM(AU4:AU4)</f>
      </c>
      <c r="AV5" s="31"/>
      <c r="AW5" s="38">
        <f>SUM(AW4:AW4)</f>
      </c>
      <c r="AX5" s="38">
        <f>SUM(AX4:AX4)</f>
      </c>
      <c r="AY5" s="38">
        <f>SUM(AY4:AY4)</f>
      </c>
      <c r="AZ5" s="38">
        <f>SUM(AZ4:AZ4)</f>
      </c>
    </row>
    <row r="6" spans="40:40" x14ac:dyDescent="0.25">
      <c r="AN6" s="19"/>
    </row>
    <row r="7" spans="1:57" x14ac:dyDescent="0.25">
      <c r="A7" s="40" t="s">
        <v>58</v>
      </c>
      <c r="R7" s="41"/>
      <c r="BA7" s="42"/>
    </row>
    <row r="8" spans="13:39" x14ac:dyDescent="0.25">
      <c r="M8" s="43"/>
      <c r="AG8" s="44"/>
      <c r="AM8" s="44"/>
    </row>
    <row r="9" spans="13:39" x14ac:dyDescent="0.25">
      <c r="M9" s="43"/>
      <c r="AG9" s="44"/>
      <c r="AM9" s="44"/>
    </row>
    <row r="10" spans="13:39" x14ac:dyDescent="0.25">
      <c r="M10" s="43"/>
      <c r="AG10" s="44"/>
      <c r="AM10" s="44"/>
    </row>
    <row r="11" spans="13:39" x14ac:dyDescent="0.25">
      <c r="M11" s="43"/>
      <c r="AG11" s="44"/>
      <c r="AM11" s="44"/>
    </row>
    <row r="12" spans="13:39" x14ac:dyDescent="0.25">
      <c r="M12" s="43"/>
      <c r="AG12" s="44"/>
      <c r="AM12" s="44"/>
    </row>
    <row r="13" spans="13:39" x14ac:dyDescent="0.25">
      <c r="M13" s="43"/>
      <c r="AG13" s="44"/>
      <c r="AM13" s="44"/>
    </row>
    <row r="14" spans="13:39" x14ac:dyDescent="0.25">
      <c r="M14" s="43"/>
      <c r="AG14" s="44"/>
      <c r="AM14" s="44"/>
    </row>
    <row r="15" spans="13:39" x14ac:dyDescent="0.25">
      <c r="M15" s="43"/>
      <c r="AG15" s="44"/>
      <c r="AM15" s="44"/>
    </row>
    <row r="16" spans="13:39" x14ac:dyDescent="0.25">
      <c r="M16" s="43"/>
      <c r="AG16" s="44"/>
      <c r="AM16" s="44"/>
    </row>
    <row r="17" spans="13:39" x14ac:dyDescent="0.25">
      <c r="M17" s="43"/>
      <c r="AG17" s="44"/>
      <c r="AM17" s="44"/>
    </row>
    <row r="18" spans="13:39" x14ac:dyDescent="0.25">
      <c r="M18" s="43"/>
      <c r="AG18" s="44"/>
      <c r="AM18" s="44"/>
    </row>
    <row r="19" spans="13:39" x14ac:dyDescent="0.25">
      <c r="M19" s="43"/>
      <c r="AG19" s="44"/>
      <c r="AM19" s="44"/>
    </row>
    <row r="20" spans="13:39" x14ac:dyDescent="0.25">
      <c r="M20" s="43"/>
      <c r="AG20" s="44"/>
      <c r="AM20" s="44"/>
    </row>
  </sheetData>
  <mergeCells count="3">
    <mergeCell ref="AI2:AM2"/>
    <mergeCell ref="AO2:AU2"/>
    <mergeCell ref="AW2:BD2"/>
  </mergeCells>
  <pageMargins left="0.393700787401575" right="0.393700787401575" top="0.393700787401575" bottom="0.630625984251969" header="0.393700787401575" footer="0.393700787401575"/>
  <pageSetup paperSize="9" orientation="landscape" horizontalDpi="300" verticalDpi="300" scale="100" fitToWidth="1" fitToHeight="1" firstPageNumber="1" useFirstPageNumber="1" copies="1"/>
  <headerFooter>
    <oddFooter>&amp;R&amp;"Tahoma,Regular"&amp;7Página :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2026-06-01T21:45:10Z</dcterms:created>
  <dcterms:modified xsi:type="dcterms:W3CDTF">2026-06-01T21:48:55Z</dcterms:modified>
</cp:coreProperties>
</file>