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 defaultThemeVersion="202300"/>
  <xr:revisionPtr revIDLastSave="0" documentId="13_ncr:1_{8E2A5ED0-C6BC-4BDE-8E74-EA73020E4A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VOICING" sheetId="2" r:id="rId1"/>
  </sheets>
  <definedNames>
    <definedName name="_xlnm._FilterDatabase">INVOICING!$A$3:$AF$3,INVOICING!$AH$3:$AO$3,INVOICING!$AQ$3:$AV$3,INVOICING!$AX$3:$BD$3,INVOICING!$BF$3:$BS$3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C85" i="2" l="1"/>
  <c r="BB85" i="2"/>
  <c r="BA85" i="2"/>
  <c r="AZ85" i="2"/>
  <c r="AY85" i="2"/>
  <c r="AX85" i="2"/>
  <c r="AT85" i="2"/>
  <c r="AS85" i="2"/>
  <c r="AR85" i="2"/>
  <c r="AN85" i="2"/>
  <c r="AM85" i="2"/>
  <c r="AL85" i="2"/>
  <c r="AK85" i="2"/>
  <c r="AJ85" i="2"/>
  <c r="AI85" i="2"/>
  <c r="AE85" i="2"/>
  <c r="AD85" i="2"/>
  <c r="AC85" i="2"/>
  <c r="AB85" i="2"/>
  <c r="AA85" i="2"/>
  <c r="Z85" i="2"/>
  <c r="Y85" i="2"/>
  <c r="X85" i="2"/>
  <c r="W85" i="2"/>
  <c r="V85" i="2"/>
  <c r="U85" i="2"/>
  <c r="T85" i="2"/>
  <c r="S85" i="2"/>
  <c r="R85" i="2"/>
  <c r="Q85" i="2"/>
  <c r="P85" i="2"/>
  <c r="O85" i="2"/>
  <c r="N85" i="2"/>
  <c r="M85" i="2"/>
  <c r="BI84" i="2"/>
  <c r="BH84" i="2"/>
  <c r="BG84" i="2"/>
  <c r="BD84" i="2"/>
  <c r="AU84" i="2"/>
  <c r="AO84" i="2"/>
  <c r="AV84" i="2" s="1"/>
  <c r="AF84" i="2"/>
  <c r="L84" i="2"/>
  <c r="BH83" i="2"/>
  <c r="BD83" i="2"/>
  <c r="AV83" i="2"/>
  <c r="AU83" i="2"/>
  <c r="AO83" i="2"/>
  <c r="AF83" i="2"/>
  <c r="L83" i="2"/>
  <c r="BH82" i="2"/>
  <c r="BJ82" i="2" s="1"/>
  <c r="BO82" i="2" s="1"/>
  <c r="BD82" i="2"/>
  <c r="AV82" i="2"/>
  <c r="AU82" i="2"/>
  <c r="BI82" i="2" s="1"/>
  <c r="BG82" i="2" s="1"/>
  <c r="AO82" i="2"/>
  <c r="AF82" i="2"/>
  <c r="L82" i="2"/>
  <c r="BO81" i="2"/>
  <c r="BH81" i="2"/>
  <c r="BJ81" i="2" s="1"/>
  <c r="BD81" i="2"/>
  <c r="AU81" i="2"/>
  <c r="AV81" i="2" s="1"/>
  <c r="AO81" i="2"/>
  <c r="AF81" i="2"/>
  <c r="BI81" i="2" s="1"/>
  <c r="L81" i="2"/>
  <c r="BJ80" i="2"/>
  <c r="BO80" i="2" s="1"/>
  <c r="BH80" i="2"/>
  <c r="BD80" i="2"/>
  <c r="AU80" i="2"/>
  <c r="AO80" i="2"/>
  <c r="AV80" i="2" s="1"/>
  <c r="AF80" i="2"/>
  <c r="L80" i="2"/>
  <c r="BJ79" i="2"/>
  <c r="BO79" i="2" s="1"/>
  <c r="BH79" i="2"/>
  <c r="BD79" i="2"/>
  <c r="AU79" i="2"/>
  <c r="AO79" i="2"/>
  <c r="AF79" i="2"/>
  <c r="L79" i="2"/>
  <c r="BJ78" i="2"/>
  <c r="BO78" i="2" s="1"/>
  <c r="BI78" i="2"/>
  <c r="BH78" i="2"/>
  <c r="BD78" i="2"/>
  <c r="AU78" i="2"/>
  <c r="AO78" i="2"/>
  <c r="AV78" i="2" s="1"/>
  <c r="AF78" i="2"/>
  <c r="L78" i="2"/>
  <c r="BH77" i="2"/>
  <c r="BD77" i="2"/>
  <c r="AU77" i="2"/>
  <c r="AO77" i="2"/>
  <c r="AV77" i="2" s="1"/>
  <c r="AF77" i="2"/>
  <c r="L77" i="2"/>
  <c r="BI76" i="2"/>
  <c r="BH76" i="2"/>
  <c r="BG76" i="2"/>
  <c r="BD76" i="2"/>
  <c r="AU76" i="2"/>
  <c r="AO76" i="2"/>
  <c r="AV76" i="2" s="1"/>
  <c r="AF76" i="2"/>
  <c r="L76" i="2"/>
  <c r="BH75" i="2"/>
  <c r="BD75" i="2"/>
  <c r="AV75" i="2"/>
  <c r="AU75" i="2"/>
  <c r="AO75" i="2"/>
  <c r="AF75" i="2"/>
  <c r="L75" i="2"/>
  <c r="BH74" i="2"/>
  <c r="BJ74" i="2" s="1"/>
  <c r="BO74" i="2" s="1"/>
  <c r="BG74" i="2"/>
  <c r="BD74" i="2"/>
  <c r="AV74" i="2"/>
  <c r="AU74" i="2"/>
  <c r="AO74" i="2"/>
  <c r="AF74" i="2"/>
  <c r="BI74" i="2" s="1"/>
  <c r="L74" i="2"/>
  <c r="BO73" i="2"/>
  <c r="BH73" i="2"/>
  <c r="BJ73" i="2" s="1"/>
  <c r="BD73" i="2"/>
  <c r="AU73" i="2"/>
  <c r="AO73" i="2"/>
  <c r="AF73" i="2"/>
  <c r="BI73" i="2" s="1"/>
  <c r="L73" i="2"/>
  <c r="BO72" i="2"/>
  <c r="BJ72" i="2"/>
  <c r="BH72" i="2"/>
  <c r="BD72" i="2"/>
  <c r="AU72" i="2"/>
  <c r="AO72" i="2"/>
  <c r="AV72" i="2" s="1"/>
  <c r="AF72" i="2"/>
  <c r="L72" i="2"/>
  <c r="BJ71" i="2"/>
  <c r="BO71" i="2" s="1"/>
  <c r="BH71" i="2"/>
  <c r="BD71" i="2"/>
  <c r="AU71" i="2"/>
  <c r="AO71" i="2"/>
  <c r="AF71" i="2"/>
  <c r="L71" i="2"/>
  <c r="BJ70" i="2"/>
  <c r="BO70" i="2" s="1"/>
  <c r="BI70" i="2"/>
  <c r="BH70" i="2"/>
  <c r="BD70" i="2"/>
  <c r="AU70" i="2"/>
  <c r="AO70" i="2"/>
  <c r="AV70" i="2" s="1"/>
  <c r="AF70" i="2"/>
  <c r="L70" i="2"/>
  <c r="BH69" i="2"/>
  <c r="BD69" i="2"/>
  <c r="AU69" i="2"/>
  <c r="AO69" i="2"/>
  <c r="AV69" i="2" s="1"/>
  <c r="AF69" i="2"/>
  <c r="L69" i="2"/>
  <c r="BI68" i="2"/>
  <c r="BH68" i="2"/>
  <c r="BG68" i="2"/>
  <c r="BD68" i="2"/>
  <c r="AU68" i="2"/>
  <c r="AO68" i="2"/>
  <c r="AV68" i="2" s="1"/>
  <c r="AF68" i="2"/>
  <c r="L68" i="2"/>
  <c r="BH67" i="2"/>
  <c r="BG67" i="2"/>
  <c r="BD67" i="2"/>
  <c r="BI67" i="2" s="1"/>
  <c r="AV67" i="2"/>
  <c r="AU67" i="2"/>
  <c r="AO67" i="2"/>
  <c r="AF67" i="2"/>
  <c r="L67" i="2"/>
  <c r="BO66" i="2"/>
  <c r="BH66" i="2"/>
  <c r="BJ66" i="2" s="1"/>
  <c r="BD66" i="2"/>
  <c r="AV66" i="2"/>
  <c r="AU66" i="2"/>
  <c r="AO66" i="2"/>
  <c r="AF66" i="2"/>
  <c r="BI66" i="2" s="1"/>
  <c r="BG66" i="2" s="1"/>
  <c r="L66" i="2"/>
  <c r="BH65" i="2"/>
  <c r="BJ65" i="2" s="1"/>
  <c r="BO65" i="2" s="1"/>
  <c r="BD65" i="2"/>
  <c r="AU65" i="2"/>
  <c r="AO65" i="2"/>
  <c r="AF65" i="2"/>
  <c r="L65" i="2"/>
  <c r="BO64" i="2"/>
  <c r="BJ64" i="2"/>
  <c r="BH64" i="2"/>
  <c r="BD64" i="2"/>
  <c r="AU64" i="2"/>
  <c r="AO64" i="2"/>
  <c r="AV64" i="2" s="1"/>
  <c r="AF64" i="2"/>
  <c r="BI64" i="2" s="1"/>
  <c r="L64" i="2"/>
  <c r="BJ63" i="2"/>
  <c r="BO63" i="2" s="1"/>
  <c r="BH63" i="2"/>
  <c r="BD63" i="2"/>
  <c r="AU63" i="2"/>
  <c r="AO63" i="2"/>
  <c r="AV63" i="2" s="1"/>
  <c r="AF63" i="2"/>
  <c r="L63" i="2"/>
  <c r="BJ62" i="2"/>
  <c r="BO62" i="2" s="1"/>
  <c r="BH62" i="2"/>
  <c r="BD62" i="2"/>
  <c r="AU62" i="2"/>
  <c r="AO62" i="2"/>
  <c r="AV62" i="2" s="1"/>
  <c r="AF62" i="2"/>
  <c r="L62" i="2"/>
  <c r="BI61" i="2"/>
  <c r="BH61" i="2"/>
  <c r="BD61" i="2"/>
  <c r="AU61" i="2"/>
  <c r="AO61" i="2"/>
  <c r="AV61" i="2" s="1"/>
  <c r="AF61" i="2"/>
  <c r="L61" i="2"/>
  <c r="BI60" i="2"/>
  <c r="BH60" i="2"/>
  <c r="BG60" i="2"/>
  <c r="BD60" i="2"/>
  <c r="AU60" i="2"/>
  <c r="AO60" i="2"/>
  <c r="AV60" i="2" s="1"/>
  <c r="AF60" i="2"/>
  <c r="L60" i="2"/>
  <c r="BH59" i="2"/>
  <c r="BD59" i="2"/>
  <c r="BI59" i="2" s="1"/>
  <c r="AV59" i="2"/>
  <c r="AU59" i="2"/>
  <c r="AO59" i="2"/>
  <c r="AF59" i="2"/>
  <c r="L59" i="2"/>
  <c r="BO58" i="2"/>
  <c r="BH58" i="2"/>
  <c r="BJ58" i="2" s="1"/>
  <c r="BD58" i="2"/>
  <c r="BG58" i="2" s="1"/>
  <c r="AV58" i="2"/>
  <c r="AU58" i="2"/>
  <c r="AO58" i="2"/>
  <c r="AF58" i="2"/>
  <c r="BI58" i="2" s="1"/>
  <c r="L58" i="2"/>
  <c r="BH57" i="2"/>
  <c r="BJ57" i="2" s="1"/>
  <c r="BO57" i="2" s="1"/>
  <c r="BD57" i="2"/>
  <c r="AU57" i="2"/>
  <c r="AV57" i="2" s="1"/>
  <c r="AO57" i="2"/>
  <c r="AF57" i="2"/>
  <c r="L57" i="2"/>
  <c r="BO56" i="2"/>
  <c r="BJ56" i="2"/>
  <c r="BH56" i="2"/>
  <c r="BD56" i="2"/>
  <c r="AU56" i="2"/>
  <c r="AO56" i="2"/>
  <c r="AV56" i="2" s="1"/>
  <c r="AF56" i="2"/>
  <c r="BI56" i="2" s="1"/>
  <c r="L56" i="2"/>
  <c r="BJ55" i="2"/>
  <c r="BO55" i="2" s="1"/>
  <c r="BH55" i="2"/>
  <c r="BD55" i="2"/>
  <c r="AU55" i="2"/>
  <c r="AO55" i="2"/>
  <c r="AV55" i="2" s="1"/>
  <c r="AF55" i="2"/>
  <c r="L55" i="2"/>
  <c r="BJ54" i="2"/>
  <c r="BO54" i="2" s="1"/>
  <c r="BH54" i="2"/>
  <c r="BD54" i="2"/>
  <c r="AU54" i="2"/>
  <c r="AO54" i="2"/>
  <c r="AV54" i="2" s="1"/>
  <c r="AF54" i="2"/>
  <c r="L54" i="2"/>
  <c r="BH53" i="2"/>
  <c r="BD53" i="2"/>
  <c r="AU53" i="2"/>
  <c r="AO53" i="2"/>
  <c r="AV53" i="2" s="1"/>
  <c r="AF53" i="2"/>
  <c r="L53" i="2"/>
  <c r="BI52" i="2"/>
  <c r="BH52" i="2"/>
  <c r="BG52" i="2"/>
  <c r="BD52" i="2"/>
  <c r="AU52" i="2"/>
  <c r="AO52" i="2"/>
  <c r="AV52" i="2" s="1"/>
  <c r="AF52" i="2"/>
  <c r="L52" i="2"/>
  <c r="BH51" i="2"/>
  <c r="BD51" i="2"/>
  <c r="BI51" i="2" s="1"/>
  <c r="AU51" i="2"/>
  <c r="AO51" i="2"/>
  <c r="AV51" i="2" s="1"/>
  <c r="AF51" i="2"/>
  <c r="L51" i="2"/>
  <c r="BH50" i="2"/>
  <c r="BJ50" i="2" s="1"/>
  <c r="BO50" i="2" s="1"/>
  <c r="BG50" i="2"/>
  <c r="BD50" i="2"/>
  <c r="AV50" i="2"/>
  <c r="AU50" i="2"/>
  <c r="AO50" i="2"/>
  <c r="AF50" i="2"/>
  <c r="BI50" i="2" s="1"/>
  <c r="L50" i="2"/>
  <c r="BO49" i="2"/>
  <c r="BH49" i="2"/>
  <c r="BJ49" i="2" s="1"/>
  <c r="BD49" i="2"/>
  <c r="AU49" i="2"/>
  <c r="AO49" i="2"/>
  <c r="AF49" i="2"/>
  <c r="BI49" i="2" s="1"/>
  <c r="L49" i="2"/>
  <c r="BH48" i="2"/>
  <c r="BJ48" i="2" s="1"/>
  <c r="BO48" i="2" s="1"/>
  <c r="BD48" i="2"/>
  <c r="AU48" i="2"/>
  <c r="AO48" i="2"/>
  <c r="AV48" i="2" s="1"/>
  <c r="AF48" i="2"/>
  <c r="L48" i="2"/>
  <c r="BJ47" i="2"/>
  <c r="BO47" i="2" s="1"/>
  <c r="BH47" i="2"/>
  <c r="BD47" i="2"/>
  <c r="AU47" i="2"/>
  <c r="AO47" i="2"/>
  <c r="AV47" i="2" s="1"/>
  <c r="AF47" i="2"/>
  <c r="L47" i="2"/>
  <c r="BJ46" i="2"/>
  <c r="BO46" i="2" s="1"/>
  <c r="BI46" i="2"/>
  <c r="BH46" i="2"/>
  <c r="BD46" i="2"/>
  <c r="AU46" i="2"/>
  <c r="AO46" i="2"/>
  <c r="AV46" i="2" s="1"/>
  <c r="AF46" i="2"/>
  <c r="L46" i="2"/>
  <c r="BI45" i="2"/>
  <c r="BH45" i="2"/>
  <c r="BD45" i="2"/>
  <c r="AU45" i="2"/>
  <c r="AO45" i="2"/>
  <c r="AV45" i="2" s="1"/>
  <c r="AF45" i="2"/>
  <c r="L45" i="2"/>
  <c r="BI44" i="2"/>
  <c r="BG44" i="2" s="1"/>
  <c r="BH44" i="2"/>
  <c r="BD44" i="2"/>
  <c r="AU44" i="2"/>
  <c r="AO44" i="2"/>
  <c r="AV44" i="2" s="1"/>
  <c r="AF44" i="2"/>
  <c r="L44" i="2"/>
  <c r="BH43" i="2"/>
  <c r="BD43" i="2"/>
  <c r="BI43" i="2" s="1"/>
  <c r="AU43" i="2"/>
  <c r="AO43" i="2"/>
  <c r="AV43" i="2" s="1"/>
  <c r="AF43" i="2"/>
  <c r="L43" i="2"/>
  <c r="BH42" i="2"/>
  <c r="BJ42" i="2" s="1"/>
  <c r="BO42" i="2" s="1"/>
  <c r="BD42" i="2"/>
  <c r="AV42" i="2"/>
  <c r="AU42" i="2"/>
  <c r="AO42" i="2"/>
  <c r="AF42" i="2"/>
  <c r="L42" i="2"/>
  <c r="BH41" i="2"/>
  <c r="BJ41" i="2" s="1"/>
  <c r="BO41" i="2" s="1"/>
  <c r="BD41" i="2"/>
  <c r="AV41" i="2"/>
  <c r="AU41" i="2"/>
  <c r="AO41" i="2"/>
  <c r="AF41" i="2"/>
  <c r="L41" i="2"/>
  <c r="BH40" i="2"/>
  <c r="BJ40" i="2" s="1"/>
  <c r="BO40" i="2" s="1"/>
  <c r="BD40" i="2"/>
  <c r="AU40" i="2"/>
  <c r="AO40" i="2"/>
  <c r="AV40" i="2" s="1"/>
  <c r="AF40" i="2"/>
  <c r="BI40" i="2" s="1"/>
  <c r="L40" i="2"/>
  <c r="BJ39" i="2"/>
  <c r="BO39" i="2" s="1"/>
  <c r="BH39" i="2"/>
  <c r="BD39" i="2"/>
  <c r="AU39" i="2"/>
  <c r="AO39" i="2"/>
  <c r="AV39" i="2" s="1"/>
  <c r="AF39" i="2"/>
  <c r="L39" i="2"/>
  <c r="BJ38" i="2"/>
  <c r="BO38" i="2" s="1"/>
  <c r="BH38" i="2"/>
  <c r="BD38" i="2"/>
  <c r="AU38" i="2"/>
  <c r="AO38" i="2"/>
  <c r="AV38" i="2" s="1"/>
  <c r="AF38" i="2"/>
  <c r="L38" i="2"/>
  <c r="BH37" i="2"/>
  <c r="BD37" i="2"/>
  <c r="AU37" i="2"/>
  <c r="AO37" i="2"/>
  <c r="AV37" i="2" s="1"/>
  <c r="AF37" i="2"/>
  <c r="L37" i="2"/>
  <c r="BI36" i="2"/>
  <c r="BH36" i="2"/>
  <c r="BG36" i="2"/>
  <c r="BD36" i="2"/>
  <c r="AU36" i="2"/>
  <c r="AO36" i="2"/>
  <c r="AV36" i="2" s="1"/>
  <c r="AF36" i="2"/>
  <c r="L36" i="2"/>
  <c r="BH35" i="2"/>
  <c r="BD35" i="2"/>
  <c r="AU35" i="2"/>
  <c r="AO35" i="2"/>
  <c r="AV35" i="2" s="1"/>
  <c r="AF35" i="2"/>
  <c r="L35" i="2"/>
  <c r="BH34" i="2"/>
  <c r="BJ34" i="2" s="1"/>
  <c r="BO34" i="2" s="1"/>
  <c r="BG34" i="2"/>
  <c r="BD34" i="2"/>
  <c r="BI34" i="2" s="1"/>
  <c r="AV34" i="2"/>
  <c r="AU34" i="2"/>
  <c r="AO34" i="2"/>
  <c r="AF34" i="2"/>
  <c r="L34" i="2"/>
  <c r="BO33" i="2"/>
  <c r="BH33" i="2"/>
  <c r="BJ33" i="2" s="1"/>
  <c r="BD33" i="2"/>
  <c r="AU33" i="2"/>
  <c r="AO33" i="2"/>
  <c r="AF33" i="2"/>
  <c r="BI33" i="2" s="1"/>
  <c r="L33" i="2"/>
  <c r="BH32" i="2"/>
  <c r="BJ32" i="2" s="1"/>
  <c r="BO32" i="2" s="1"/>
  <c r="BD32" i="2"/>
  <c r="AV32" i="2"/>
  <c r="AU32" i="2"/>
  <c r="AO32" i="2"/>
  <c r="AF32" i="2"/>
  <c r="L32" i="2"/>
  <c r="BJ31" i="2"/>
  <c r="BO31" i="2" s="1"/>
  <c r="BH31" i="2"/>
  <c r="BD31" i="2"/>
  <c r="AU31" i="2"/>
  <c r="AO31" i="2"/>
  <c r="AF31" i="2"/>
  <c r="L31" i="2"/>
  <c r="BJ30" i="2"/>
  <c r="BO30" i="2" s="1"/>
  <c r="BI30" i="2"/>
  <c r="BH30" i="2"/>
  <c r="BD30" i="2"/>
  <c r="AU30" i="2"/>
  <c r="AO30" i="2"/>
  <c r="AV30" i="2" s="1"/>
  <c r="AF30" i="2"/>
  <c r="L30" i="2"/>
  <c r="BJ29" i="2"/>
  <c r="BO29" i="2" s="1"/>
  <c r="BI29" i="2"/>
  <c r="BH29" i="2"/>
  <c r="BD29" i="2"/>
  <c r="AU29" i="2"/>
  <c r="AO29" i="2"/>
  <c r="AV29" i="2" s="1"/>
  <c r="AF29" i="2"/>
  <c r="L29" i="2"/>
  <c r="BI28" i="2"/>
  <c r="BG28" i="2" s="1"/>
  <c r="BH28" i="2"/>
  <c r="BD28" i="2"/>
  <c r="AU28" i="2"/>
  <c r="AO28" i="2"/>
  <c r="AV28" i="2" s="1"/>
  <c r="AF28" i="2"/>
  <c r="L28" i="2"/>
  <c r="BH27" i="2"/>
  <c r="BD27" i="2"/>
  <c r="BG27" i="2" s="1"/>
  <c r="AU27" i="2"/>
  <c r="AO27" i="2"/>
  <c r="AV27" i="2" s="1"/>
  <c r="AF27" i="2"/>
  <c r="BI27" i="2" s="1"/>
  <c r="L27" i="2"/>
  <c r="BH26" i="2"/>
  <c r="BJ26" i="2" s="1"/>
  <c r="BO26" i="2" s="1"/>
  <c r="BD26" i="2"/>
  <c r="BI26" i="2" s="1"/>
  <c r="AV26" i="2"/>
  <c r="AU26" i="2"/>
  <c r="AO26" i="2"/>
  <c r="AF26" i="2"/>
  <c r="L26" i="2"/>
  <c r="BH25" i="2"/>
  <c r="BJ25" i="2" s="1"/>
  <c r="BO25" i="2" s="1"/>
  <c r="BD25" i="2"/>
  <c r="AV25" i="2"/>
  <c r="AU25" i="2"/>
  <c r="AO25" i="2"/>
  <c r="AF25" i="2"/>
  <c r="L25" i="2"/>
  <c r="BH24" i="2"/>
  <c r="BJ24" i="2" s="1"/>
  <c r="BO24" i="2" s="1"/>
  <c r="BD24" i="2"/>
  <c r="AU24" i="2"/>
  <c r="AO24" i="2"/>
  <c r="AF24" i="2"/>
  <c r="BI24" i="2" s="1"/>
  <c r="L24" i="2"/>
  <c r="BJ23" i="2"/>
  <c r="BO23" i="2" s="1"/>
  <c r="BH23" i="2"/>
  <c r="BD23" i="2"/>
  <c r="AU23" i="2"/>
  <c r="AO23" i="2"/>
  <c r="AV23" i="2" s="1"/>
  <c r="AF23" i="2"/>
  <c r="L23" i="2"/>
  <c r="BJ22" i="2"/>
  <c r="BO22" i="2" s="1"/>
  <c r="BI22" i="2"/>
  <c r="BH22" i="2"/>
  <c r="BD22" i="2"/>
  <c r="AU22" i="2"/>
  <c r="AO22" i="2"/>
  <c r="AV22" i="2" s="1"/>
  <c r="AF22" i="2"/>
  <c r="L22" i="2"/>
  <c r="BI21" i="2"/>
  <c r="BH21" i="2"/>
  <c r="BD21" i="2"/>
  <c r="AU21" i="2"/>
  <c r="AO21" i="2"/>
  <c r="AV21" i="2" s="1"/>
  <c r="AF21" i="2"/>
  <c r="L21" i="2"/>
  <c r="BI20" i="2"/>
  <c r="BH20" i="2"/>
  <c r="BG20" i="2"/>
  <c r="BD20" i="2"/>
  <c r="AU20" i="2"/>
  <c r="AO20" i="2"/>
  <c r="AV20" i="2" s="1"/>
  <c r="AF20" i="2"/>
  <c r="L20" i="2"/>
  <c r="BH19" i="2"/>
  <c r="BG19" i="2"/>
  <c r="BD19" i="2"/>
  <c r="AU19" i="2"/>
  <c r="AO19" i="2"/>
  <c r="AV19" i="2" s="1"/>
  <c r="AF19" i="2"/>
  <c r="BI19" i="2" s="1"/>
  <c r="L19" i="2"/>
  <c r="BO18" i="2"/>
  <c r="BH18" i="2"/>
  <c r="BJ18" i="2" s="1"/>
  <c r="BD18" i="2"/>
  <c r="BI18" i="2" s="1"/>
  <c r="AV18" i="2"/>
  <c r="AU18" i="2"/>
  <c r="AO18" i="2"/>
  <c r="AF18" i="2"/>
  <c r="L18" i="2"/>
  <c r="BH17" i="2"/>
  <c r="BJ17" i="2" s="1"/>
  <c r="BO17" i="2" s="1"/>
  <c r="BD17" i="2"/>
  <c r="AU17" i="2"/>
  <c r="AV17" i="2" s="1"/>
  <c r="AO17" i="2"/>
  <c r="AF17" i="2"/>
  <c r="L17" i="2"/>
  <c r="BH16" i="2"/>
  <c r="BJ16" i="2" s="1"/>
  <c r="BO16" i="2" s="1"/>
  <c r="BD16" i="2"/>
  <c r="AV16" i="2"/>
  <c r="AU16" i="2"/>
  <c r="AO16" i="2"/>
  <c r="AF16" i="2"/>
  <c r="BI16" i="2" s="1"/>
  <c r="L16" i="2"/>
  <c r="BJ15" i="2"/>
  <c r="BO15" i="2" s="1"/>
  <c r="BH15" i="2"/>
  <c r="BD15" i="2"/>
  <c r="AU15" i="2"/>
  <c r="AO15" i="2"/>
  <c r="AV15" i="2" s="1"/>
  <c r="AF15" i="2"/>
  <c r="L15" i="2"/>
  <c r="BJ14" i="2"/>
  <c r="BO14" i="2" s="1"/>
  <c r="BH14" i="2"/>
  <c r="BD14" i="2"/>
  <c r="AU14" i="2"/>
  <c r="AO14" i="2"/>
  <c r="AV14" i="2" s="1"/>
  <c r="AF14" i="2"/>
  <c r="L14" i="2"/>
  <c r="BJ13" i="2"/>
  <c r="BO13" i="2" s="1"/>
  <c r="BH13" i="2"/>
  <c r="BD13" i="2"/>
  <c r="AU13" i="2"/>
  <c r="AO13" i="2"/>
  <c r="AV13" i="2" s="1"/>
  <c r="AF13" i="2"/>
  <c r="L13" i="2"/>
  <c r="BH12" i="2"/>
  <c r="BD12" i="2"/>
  <c r="AU12" i="2"/>
  <c r="AO12" i="2"/>
  <c r="AV12" i="2" s="1"/>
  <c r="AF12" i="2"/>
  <c r="L12" i="2"/>
  <c r="BH11" i="2"/>
  <c r="BD11" i="2"/>
  <c r="AU11" i="2"/>
  <c r="AO11" i="2"/>
  <c r="AF11" i="2"/>
  <c r="L11" i="2"/>
  <c r="BH10" i="2"/>
  <c r="BJ10" i="2" s="1"/>
  <c r="BO10" i="2" s="1"/>
  <c r="BD10" i="2"/>
  <c r="AU10" i="2"/>
  <c r="AO10" i="2"/>
  <c r="BI10" i="2" s="1"/>
  <c r="AF10" i="2"/>
  <c r="L10" i="2"/>
  <c r="BJ9" i="2"/>
  <c r="BO9" i="2" s="1"/>
  <c r="BH9" i="2"/>
  <c r="BD9" i="2"/>
  <c r="AU9" i="2"/>
  <c r="AO9" i="2"/>
  <c r="AV9" i="2" s="1"/>
  <c r="AF9" i="2"/>
  <c r="BI9" i="2" s="1"/>
  <c r="L9" i="2"/>
  <c r="BJ8" i="2"/>
  <c r="BO8" i="2" s="1"/>
  <c r="BI8" i="2"/>
  <c r="BH8" i="2"/>
  <c r="BD8" i="2"/>
  <c r="AU8" i="2"/>
  <c r="AO8" i="2"/>
  <c r="AV8" i="2" s="1"/>
  <c r="AF8" i="2"/>
  <c r="BG8" i="2" s="1"/>
  <c r="L8" i="2"/>
  <c r="BI7" i="2"/>
  <c r="BH7" i="2"/>
  <c r="BD7" i="2"/>
  <c r="AU7" i="2"/>
  <c r="AO7" i="2"/>
  <c r="AV7" i="2" s="1"/>
  <c r="AF7" i="2"/>
  <c r="BG7" i="2" s="1"/>
  <c r="L7" i="2"/>
  <c r="BI6" i="2"/>
  <c r="BH6" i="2"/>
  <c r="BG6" i="2"/>
  <c r="BD6" i="2"/>
  <c r="AU6" i="2"/>
  <c r="AO6" i="2"/>
  <c r="AV6" i="2" s="1"/>
  <c r="AF6" i="2"/>
  <c r="L6" i="2"/>
  <c r="BH5" i="2"/>
  <c r="BD5" i="2"/>
  <c r="AU5" i="2"/>
  <c r="AO5" i="2"/>
  <c r="AV5" i="2" s="1"/>
  <c r="AF5" i="2"/>
  <c r="L5" i="2"/>
  <c r="BH4" i="2"/>
  <c r="BQ2" i="2" s="1"/>
  <c r="BD4" i="2"/>
  <c r="AV4" i="2"/>
  <c r="AU4" i="2"/>
  <c r="AO4" i="2"/>
  <c r="AF4" i="2"/>
  <c r="L4" i="2"/>
  <c r="BM58" i="2" l="1"/>
  <c r="BP58" i="2" s="1"/>
  <c r="BK58" i="2"/>
  <c r="BM66" i="2"/>
  <c r="BP66" i="2" s="1"/>
  <c r="BK66" i="2"/>
  <c r="BM82" i="2"/>
  <c r="BP82" i="2" s="1"/>
  <c r="BK82" i="2"/>
  <c r="BM8" i="2"/>
  <c r="BP8" i="2" s="1"/>
  <c r="BK8" i="2"/>
  <c r="BG4" i="2"/>
  <c r="BM7" i="2"/>
  <c r="BP7" i="2" s="1"/>
  <c r="BK7" i="2"/>
  <c r="BM44" i="2"/>
  <c r="BK6" i="2"/>
  <c r="BM27" i="2"/>
  <c r="BP27" i="2" s="1"/>
  <c r="BK27" i="2"/>
  <c r="BM28" i="2"/>
  <c r="BM20" i="2"/>
  <c r="BP20" i="2" s="1"/>
  <c r="BK20" i="2"/>
  <c r="BM68" i="2"/>
  <c r="BM76" i="2"/>
  <c r="BP76" i="2" s="1"/>
  <c r="BK76" i="2"/>
  <c r="BJ83" i="2"/>
  <c r="BO83" i="2" s="1"/>
  <c r="BJ7" i="2"/>
  <c r="BO7" i="2" s="1"/>
  <c r="BJ20" i="2"/>
  <c r="BO20" i="2" s="1"/>
  <c r="BJ45" i="2"/>
  <c r="BO45" i="2" s="1"/>
  <c r="BM60" i="2"/>
  <c r="BK60" i="2"/>
  <c r="BI5" i="2"/>
  <c r="BG5" i="2" s="1"/>
  <c r="BJ6" i="2"/>
  <c r="BO6" i="2" s="1"/>
  <c r="BG29" i="2"/>
  <c r="BG33" i="2"/>
  <c r="BJ35" i="2"/>
  <c r="BO35" i="2" s="1"/>
  <c r="BM36" i="2"/>
  <c r="BP36" i="2" s="1"/>
  <c r="BK36" i="2"/>
  <c r="BG49" i="2"/>
  <c r="BJ51" i="2"/>
  <c r="BO51" i="2" s="1"/>
  <c r="BM52" i="2"/>
  <c r="BJ60" i="2"/>
  <c r="BO60" i="2" s="1"/>
  <c r="BJ69" i="2"/>
  <c r="BO69" i="2" s="1"/>
  <c r="BJ77" i="2"/>
  <c r="BO77" i="2" s="1"/>
  <c r="BI23" i="2"/>
  <c r="BG23" i="2"/>
  <c r="BM50" i="2"/>
  <c r="BP50" i="2" s="1"/>
  <c r="BK50" i="2"/>
  <c r="BG65" i="2"/>
  <c r="BM84" i="2"/>
  <c r="BD85" i="2"/>
  <c r="BJ19" i="2"/>
  <c r="BO19" i="2" s="1"/>
  <c r="BI55" i="2"/>
  <c r="BG55" i="2"/>
  <c r="BG59" i="2"/>
  <c r="AV65" i="2"/>
  <c r="BJ67" i="2"/>
  <c r="BO67" i="2" s="1"/>
  <c r="BI75" i="2"/>
  <c r="BG75" i="2" s="1"/>
  <c r="BJ59" i="2"/>
  <c r="BO59" i="2" s="1"/>
  <c r="BJ75" i="2"/>
  <c r="BO75" i="2" s="1"/>
  <c r="BG24" i="2"/>
  <c r="BG26" i="2"/>
  <c r="BI4" i="2"/>
  <c r="BJ5" i="2"/>
  <c r="BO5" i="2" s="1"/>
  <c r="BG10" i="2"/>
  <c r="BJ11" i="2"/>
  <c r="BO11" i="2" s="1"/>
  <c r="AV33" i="2"/>
  <c r="BJ36" i="2"/>
  <c r="BO36" i="2" s="1"/>
  <c r="BG45" i="2"/>
  <c r="BG46" i="2"/>
  <c r="AV49" i="2"/>
  <c r="BJ52" i="2"/>
  <c r="BO52" i="2" s="1"/>
  <c r="BI62" i="2"/>
  <c r="BG73" i="2"/>
  <c r="AV73" i="2"/>
  <c r="BI83" i="2"/>
  <c r="AF85" i="2"/>
  <c r="BI31" i="2"/>
  <c r="BG31" i="2" s="1"/>
  <c r="BG70" i="2"/>
  <c r="BG78" i="2"/>
  <c r="BM19" i="2"/>
  <c r="BP19" i="2" s="1"/>
  <c r="BK19" i="2"/>
  <c r="BJ44" i="2"/>
  <c r="BO44" i="2" s="1"/>
  <c r="BI63" i="2"/>
  <c r="BG63" i="2"/>
  <c r="BM67" i="2"/>
  <c r="BG83" i="2"/>
  <c r="BI39" i="2"/>
  <c r="BG39" i="2"/>
  <c r="AV10" i="2"/>
  <c r="AV85" i="2" s="1"/>
  <c r="BG51" i="2"/>
  <c r="BH85" i="2"/>
  <c r="BG30" i="2"/>
  <c r="BJ21" i="2"/>
  <c r="BO21" i="2" s="1"/>
  <c r="BJ4" i="2"/>
  <c r="BM6" i="2"/>
  <c r="BP6" i="2" s="1"/>
  <c r="BG9" i="2"/>
  <c r="AV24" i="2"/>
  <c r="BI47" i="2"/>
  <c r="BG47" i="2" s="1"/>
  <c r="AO85" i="2"/>
  <c r="BI11" i="2"/>
  <c r="BG11" i="2" s="1"/>
  <c r="BI12" i="2"/>
  <c r="BG12" i="2" s="1"/>
  <c r="BG16" i="2"/>
  <c r="BG18" i="2"/>
  <c r="BG21" i="2"/>
  <c r="BG22" i="2"/>
  <c r="BJ27" i="2"/>
  <c r="BO27" i="2" s="1"/>
  <c r="AV31" i="2"/>
  <c r="BI35" i="2"/>
  <c r="BG35" i="2" s="1"/>
  <c r="BJ37" i="2"/>
  <c r="BO37" i="2" s="1"/>
  <c r="BG43" i="2"/>
  <c r="BJ53" i="2"/>
  <c r="BO53" i="2" s="1"/>
  <c r="BI65" i="2"/>
  <c r="BG69" i="2"/>
  <c r="BI69" i="2"/>
  <c r="BI71" i="2"/>
  <c r="BG71" i="2"/>
  <c r="BG77" i="2"/>
  <c r="BI77" i="2"/>
  <c r="BI79" i="2"/>
  <c r="BG79" i="2"/>
  <c r="BM34" i="2"/>
  <c r="BP34" i="2" s="1"/>
  <c r="BK34" i="2"/>
  <c r="BM74" i="2"/>
  <c r="BP74" i="2" s="1"/>
  <c r="BK74" i="2"/>
  <c r="BJ68" i="2"/>
  <c r="BO68" i="2" s="1"/>
  <c r="BI15" i="2"/>
  <c r="BG15" i="2" s="1"/>
  <c r="BI25" i="2"/>
  <c r="BN85" i="2"/>
  <c r="BJ12" i="2"/>
  <c r="BO12" i="2" s="1"/>
  <c r="BI37" i="2"/>
  <c r="BG37" i="2" s="1"/>
  <c r="BI38" i="2"/>
  <c r="BG38" i="2" s="1"/>
  <c r="BI41" i="2"/>
  <c r="BI53" i="2"/>
  <c r="BG53" i="2" s="1"/>
  <c r="BI54" i="2"/>
  <c r="BG54" i="2" s="1"/>
  <c r="BJ61" i="2"/>
  <c r="BO61" i="2" s="1"/>
  <c r="AU85" i="2"/>
  <c r="AV11" i="2"/>
  <c r="BI13" i="2"/>
  <c r="BG13" i="2" s="1"/>
  <c r="BI14" i="2"/>
  <c r="BG14" i="2" s="1"/>
  <c r="BI17" i="2"/>
  <c r="BJ28" i="2"/>
  <c r="BO28" i="2" s="1"/>
  <c r="BI32" i="2"/>
  <c r="BG32" i="2" s="1"/>
  <c r="BG41" i="2"/>
  <c r="BI42" i="2"/>
  <c r="BG42" i="2" s="1"/>
  <c r="BJ43" i="2"/>
  <c r="BO43" i="2" s="1"/>
  <c r="BI48" i="2"/>
  <c r="BG48" i="2" s="1"/>
  <c r="BI57" i="2"/>
  <c r="BG57" i="2" s="1"/>
  <c r="BG61" i="2"/>
  <c r="BG62" i="2"/>
  <c r="AV71" i="2"/>
  <c r="BI72" i="2"/>
  <c r="BG72" i="2" s="1"/>
  <c r="AV79" i="2"/>
  <c r="BI80" i="2"/>
  <c r="BG17" i="2"/>
  <c r="BG25" i="2"/>
  <c r="BJ76" i="2"/>
  <c r="BO76" i="2" s="1"/>
  <c r="BG81" i="2"/>
  <c r="BJ84" i="2"/>
  <c r="BO84" i="2" s="1"/>
  <c r="BG40" i="2"/>
  <c r="BG56" i="2"/>
  <c r="BG64" i="2"/>
  <c r="BG80" i="2"/>
  <c r="BM13" i="2" l="1"/>
  <c r="BP13" i="2" s="1"/>
  <c r="BK13" i="2"/>
  <c r="BM75" i="2"/>
  <c r="BP75" i="2" s="1"/>
  <c r="BK75" i="2"/>
  <c r="BK15" i="2"/>
  <c r="BM15" i="2"/>
  <c r="BP15" i="2" s="1"/>
  <c r="BK57" i="2"/>
  <c r="BM57" i="2"/>
  <c r="BP57" i="2" s="1"/>
  <c r="BM53" i="2"/>
  <c r="BP53" i="2" s="1"/>
  <c r="BK53" i="2"/>
  <c r="BK48" i="2"/>
  <c r="BM48" i="2"/>
  <c r="BP48" i="2" s="1"/>
  <c r="BM37" i="2"/>
  <c r="BP37" i="2" s="1"/>
  <c r="BK37" i="2"/>
  <c r="BM31" i="2"/>
  <c r="BP31" i="2" s="1"/>
  <c r="BK31" i="2"/>
  <c r="BM54" i="2"/>
  <c r="BP54" i="2" s="1"/>
  <c r="BK54" i="2"/>
  <c r="BM14" i="2"/>
  <c r="BP14" i="2" s="1"/>
  <c r="BK14" i="2"/>
  <c r="BM38" i="2"/>
  <c r="BP38" i="2" s="1"/>
  <c r="BK38" i="2"/>
  <c r="BM35" i="2"/>
  <c r="BP35" i="2" s="1"/>
  <c r="BK35" i="2"/>
  <c r="BM12" i="2"/>
  <c r="BP12" i="2" s="1"/>
  <c r="BK12" i="2"/>
  <c r="BM5" i="2"/>
  <c r="BP5" i="2" s="1"/>
  <c r="BK5" i="2"/>
  <c r="BM11" i="2"/>
  <c r="BP11" i="2" s="1"/>
  <c r="BK11" i="2"/>
  <c r="BM72" i="2"/>
  <c r="BP72" i="2" s="1"/>
  <c r="BK72" i="2"/>
  <c r="BM42" i="2"/>
  <c r="BP42" i="2" s="1"/>
  <c r="BK42" i="2"/>
  <c r="BM47" i="2"/>
  <c r="BP47" i="2" s="1"/>
  <c r="BK47" i="2"/>
  <c r="BK32" i="2"/>
  <c r="BM32" i="2"/>
  <c r="BP32" i="2" s="1"/>
  <c r="BM40" i="2"/>
  <c r="BP40" i="2" s="1"/>
  <c r="BK40" i="2"/>
  <c r="BK17" i="2"/>
  <c r="BM17" i="2"/>
  <c r="BP17" i="2" s="1"/>
  <c r="BM22" i="2"/>
  <c r="BP22" i="2" s="1"/>
  <c r="BK22" i="2"/>
  <c r="BM51" i="2"/>
  <c r="BP51" i="2" s="1"/>
  <c r="BK51" i="2"/>
  <c r="BM78" i="2"/>
  <c r="BP78" i="2" s="1"/>
  <c r="BK78" i="2"/>
  <c r="BM21" i="2"/>
  <c r="BP21" i="2" s="1"/>
  <c r="BK21" i="2"/>
  <c r="BM70" i="2"/>
  <c r="BP70" i="2" s="1"/>
  <c r="BK70" i="2"/>
  <c r="BK73" i="2"/>
  <c r="BM73" i="2"/>
  <c r="BP73" i="2" s="1"/>
  <c r="BK84" i="2"/>
  <c r="BK28" i="2"/>
  <c r="BM77" i="2"/>
  <c r="BP77" i="2" s="1"/>
  <c r="BK77" i="2"/>
  <c r="BM59" i="2"/>
  <c r="BP59" i="2" s="1"/>
  <c r="BK59" i="2"/>
  <c r="BK41" i="2"/>
  <c r="BM41" i="2"/>
  <c r="BP41" i="2" s="1"/>
  <c r="BM64" i="2"/>
  <c r="BP64" i="2" s="1"/>
  <c r="BK64" i="2"/>
  <c r="BK79" i="2"/>
  <c r="BM79" i="2"/>
  <c r="BP79" i="2" s="1"/>
  <c r="BM63" i="2"/>
  <c r="BP63" i="2" s="1"/>
  <c r="BK63" i="2"/>
  <c r="BK24" i="2"/>
  <c r="BM24" i="2"/>
  <c r="BP24" i="2" s="1"/>
  <c r="BM23" i="2"/>
  <c r="BP23" i="2" s="1"/>
  <c r="BK23" i="2"/>
  <c r="BM29" i="2"/>
  <c r="BP29" i="2" s="1"/>
  <c r="BK29" i="2"/>
  <c r="BK56" i="2"/>
  <c r="BM56" i="2"/>
  <c r="BP56" i="2" s="1"/>
  <c r="BM43" i="2"/>
  <c r="BP43" i="2" s="1"/>
  <c r="BK43" i="2"/>
  <c r="BM18" i="2"/>
  <c r="BP18" i="2" s="1"/>
  <c r="BK18" i="2"/>
  <c r="BK9" i="2"/>
  <c r="BM9" i="2"/>
  <c r="BP9" i="2" s="1"/>
  <c r="BP84" i="2"/>
  <c r="BK49" i="2"/>
  <c r="BM49" i="2"/>
  <c r="BP49" i="2" s="1"/>
  <c r="BP28" i="2"/>
  <c r="BK65" i="2"/>
  <c r="BM65" i="2"/>
  <c r="BP65" i="2" s="1"/>
  <c r="BK71" i="2"/>
  <c r="BM71" i="2"/>
  <c r="BP71" i="2" s="1"/>
  <c r="BK81" i="2"/>
  <c r="BM81" i="2"/>
  <c r="BP81" i="2" s="1"/>
  <c r="BM83" i="2"/>
  <c r="BP83" i="2" s="1"/>
  <c r="BK83" i="2"/>
  <c r="BK68" i="2"/>
  <c r="BG85" i="2"/>
  <c r="BM4" i="2"/>
  <c r="BK4" i="2"/>
  <c r="BK16" i="2"/>
  <c r="BM16" i="2"/>
  <c r="BP16" i="2" s="1"/>
  <c r="BM10" i="2"/>
  <c r="BP10" i="2" s="1"/>
  <c r="BK10" i="2"/>
  <c r="BK55" i="2"/>
  <c r="BM55" i="2"/>
  <c r="BP55" i="2" s="1"/>
  <c r="BP60" i="2"/>
  <c r="BM62" i="2"/>
  <c r="BP62" i="2" s="1"/>
  <c r="BK62" i="2"/>
  <c r="BM80" i="2"/>
  <c r="BP80" i="2" s="1"/>
  <c r="BK80" i="2"/>
  <c r="BM61" i="2"/>
  <c r="BP61" i="2" s="1"/>
  <c r="BK61" i="2"/>
  <c r="BM30" i="2"/>
  <c r="BP30" i="2" s="1"/>
  <c r="BK30" i="2"/>
  <c r="BK67" i="2"/>
  <c r="BM46" i="2"/>
  <c r="BP46" i="2" s="1"/>
  <c r="BK46" i="2"/>
  <c r="BI85" i="2"/>
  <c r="BK52" i="2"/>
  <c r="BP68" i="2"/>
  <c r="BK44" i="2"/>
  <c r="BK39" i="2"/>
  <c r="BM39" i="2"/>
  <c r="BP39" i="2" s="1"/>
  <c r="BJ85" i="2"/>
  <c r="BO4" i="2"/>
  <c r="BO85" i="2" s="1"/>
  <c r="BK25" i="2"/>
  <c r="BM25" i="2"/>
  <c r="BP25" i="2" s="1"/>
  <c r="BM69" i="2"/>
  <c r="BP69" i="2" s="1"/>
  <c r="BK69" i="2"/>
  <c r="BP67" i="2"/>
  <c r="BM45" i="2"/>
  <c r="BP45" i="2" s="1"/>
  <c r="BK45" i="2"/>
  <c r="BM26" i="2"/>
  <c r="BP26" i="2" s="1"/>
  <c r="BK26" i="2"/>
  <c r="BP52" i="2"/>
  <c r="BK33" i="2"/>
  <c r="BM33" i="2"/>
  <c r="BP33" i="2" s="1"/>
  <c r="BP44" i="2"/>
  <c r="BK85" i="2" l="1"/>
  <c r="BM85" i="2"/>
  <c r="BP4" i="2"/>
  <c r="BP85" i="2" s="1"/>
</calcChain>
</file>

<file path=xl/sharedStrings.xml><?xml version="1.0" encoding="utf-8"?>
<sst xmlns="http://schemas.openxmlformats.org/spreadsheetml/2006/main" count="788" uniqueCount="374">
  <si>
    <t>COST REPORT</t>
  </si>
  <si>
    <t>SOCIAL SECURITY EMPLOYER COSTS</t>
  </si>
  <si>
    <t>LEGAL BENEFITS</t>
  </si>
  <si>
    <t>OTHER EMPLOYER COST</t>
  </si>
  <si>
    <t>TOTALS</t>
  </si>
  <si>
    <t>EMPLOYEE CODE</t>
  </si>
  <si>
    <t>EE RF WID</t>
  </si>
  <si>
    <t>NAME</t>
  </si>
  <si>
    <t>Onboarding Date</t>
  </si>
  <si>
    <t>Offboarding Date</t>
  </si>
  <si>
    <t>EE Status (onboarding/active/offboarding)</t>
  </si>
  <si>
    <t>Country</t>
  </si>
  <si>
    <t>Customer Name</t>
  </si>
  <si>
    <t>Customer ID</t>
  </si>
  <si>
    <t>Payroll Month</t>
  </si>
  <si>
    <t>Service Type / Invoice Type</t>
  </si>
  <si>
    <t>ER SS rate %</t>
  </si>
  <si>
    <t>SALARY</t>
  </si>
  <si>
    <t>Rectroactive payment/Plus Compensation</t>
  </si>
  <si>
    <t>"Sick" Leave</t>
  </si>
  <si>
    <t>Alloawance 1 (Car Allowance)</t>
  </si>
  <si>
    <t>Unused Holidays</t>
  </si>
  <si>
    <t>Overtime</t>
  </si>
  <si>
    <t>Bonus/Commission</t>
  </si>
  <si>
    <t xml:space="preserve">Deduction or Gross Amount adjustments prevous month </t>
  </si>
  <si>
    <t>Alloawance 2 (Mobile &amp; Internet Allowance)</t>
  </si>
  <si>
    <t>Food allowance</t>
  </si>
  <si>
    <t>Alloawance 3 (Home/Remote work allowance)</t>
  </si>
  <si>
    <t>Alloawance 4 (Other allowances)</t>
  </si>
  <si>
    <t>Sign-on Bonus</t>
  </si>
  <si>
    <t>Transport allowance</t>
  </si>
  <si>
    <t>Wellness Allowance</t>
  </si>
  <si>
    <t>On Call/ Plus Disponibilidad</t>
  </si>
  <si>
    <t>Severance Pay (Taxable)</t>
  </si>
  <si>
    <t>Lieu of Notice</t>
  </si>
  <si>
    <t>Paternity/ Maternity leave</t>
  </si>
  <si>
    <t>PAYMENTS</t>
  </si>
  <si>
    <t>PENSION COST</t>
  </si>
  <si>
    <t>HEALTH COST</t>
  </si>
  <si>
    <t>LABOR RISK COST</t>
  </si>
  <si>
    <t>FAMILY FUND COST</t>
  </si>
  <si>
    <t>SENA COST</t>
  </si>
  <si>
    <t>ICBF COST</t>
  </si>
  <si>
    <t>TOTAL</t>
  </si>
  <si>
    <t>13TH SALARY</t>
  </si>
  <si>
    <t>14TH SALARY</t>
  </si>
  <si>
    <t>INTEREST ON 14TH SALARY</t>
  </si>
  <si>
    <t>TOTAL COST AND LEGAL BENEFITS</t>
  </si>
  <si>
    <t>EXPENSES</t>
  </si>
  <si>
    <t>HEALTH INSURANCE</t>
  </si>
  <si>
    <t>MEDICAL TEST</t>
  </si>
  <si>
    <t>LEAVE PAID REFOUND</t>
  </si>
  <si>
    <t>PARKING COST</t>
  </si>
  <si>
    <t>SENA QUOTE</t>
  </si>
  <si>
    <t>TOTAL EMPLOYEE COST</t>
  </si>
  <si>
    <t>FEE</t>
  </si>
  <si>
    <t>BANKING TAX</t>
  </si>
  <si>
    <t>IVA</t>
  </si>
  <si>
    <t>TOTAL COP</t>
  </si>
  <si>
    <t>EXCHANGE RATE</t>
  </si>
  <si>
    <t>TOTAL EMPLOYEE COST USD</t>
  </si>
  <si>
    <t>FEE USD</t>
  </si>
  <si>
    <t>VAT</t>
  </si>
  <si>
    <t>TOTAL USD</t>
  </si>
  <si>
    <t>PLATFORM</t>
  </si>
  <si>
    <t>DIFERENCE</t>
  </si>
  <si>
    <t>1017225217</t>
  </si>
  <si>
    <t>3131</t>
  </si>
  <si>
    <t>AGUDELO DURANGO YESSELA</t>
  </si>
  <si>
    <t>active</t>
  </si>
  <si>
    <t>Colombia</t>
  </si>
  <si>
    <t>Remofirst - INSIGTHFUL</t>
  </si>
  <si>
    <t>15</t>
  </si>
  <si>
    <t>September</t>
  </si>
  <si>
    <t>Monthly Payroll</t>
  </si>
  <si>
    <t>1032387384</t>
  </si>
  <si>
    <t>12985</t>
  </si>
  <si>
    <t>AGUDELO MAGALHAES MONICA MARIA</t>
  </si>
  <si>
    <t>Remofirst - Remote Medicine, Inc</t>
  </si>
  <si>
    <t>53</t>
  </si>
  <si>
    <t>1152453999</t>
  </si>
  <si>
    <t>9546</t>
  </si>
  <si>
    <t>ALARCON VASQUEZ JOHAN MAURICIO</t>
  </si>
  <si>
    <t>Remofirst - Radpair</t>
  </si>
  <si>
    <t>41</t>
  </si>
  <si>
    <t>1107511430</t>
  </si>
  <si>
    <t>13118</t>
  </si>
  <si>
    <t>ALBARELLO RANGEL LEONARDO</t>
  </si>
  <si>
    <t>Remofirst - AG Law Firm LLC</t>
  </si>
  <si>
    <t>23</t>
  </si>
  <si>
    <t>1007722318</t>
  </si>
  <si>
    <t>9097</t>
  </si>
  <si>
    <t>ALEMAN ROJAS LAURA ALEJANDRA</t>
  </si>
  <si>
    <t>Remofirst - CARBONBETTER</t>
  </si>
  <si>
    <t>20</t>
  </si>
  <si>
    <t>1006877595</t>
  </si>
  <si>
    <t>11869</t>
  </si>
  <si>
    <t>ALVAREZ LOPEZ JUAN ESTEBAN</t>
  </si>
  <si>
    <t>Remofirst - Salty Slopes LLC</t>
  </si>
  <si>
    <t>33</t>
  </si>
  <si>
    <t>1127350796</t>
  </si>
  <si>
    <t>11330</t>
  </si>
  <si>
    <t>ARIAS CHACON MILEINER GABRIELA</t>
  </si>
  <si>
    <t>Remofirst - IGS SOLUTIONS</t>
  </si>
  <si>
    <t>48</t>
  </si>
  <si>
    <t>1006052223</t>
  </si>
  <si>
    <t>13907</t>
  </si>
  <si>
    <t>BACCA MONSALVE MARÍA CAMILA</t>
  </si>
  <si>
    <t>1014207714</t>
  </si>
  <si>
    <t>13528</t>
  </si>
  <si>
    <t>BARRETO RUIZ JONATHAN JAVIER</t>
  </si>
  <si>
    <t>Remofirst - ISLAMIC RELIEF</t>
  </si>
  <si>
    <t>25</t>
  </si>
  <si>
    <t>6558680</t>
  </si>
  <si>
    <t>938</t>
  </si>
  <si>
    <t>BEAUVERD  FLORENT GUY</t>
  </si>
  <si>
    <t>Remofirst - 10AK</t>
  </si>
  <si>
    <t>04</t>
  </si>
  <si>
    <t>1000533489</t>
  </si>
  <si>
    <t>12343</t>
  </si>
  <si>
    <t>BETANCUR GIRALDO SUSANA</t>
  </si>
  <si>
    <t>1026298001</t>
  </si>
  <si>
    <t>5660</t>
  </si>
  <si>
    <t>BONIL ROMERO SARA</t>
  </si>
  <si>
    <t>19248782</t>
  </si>
  <si>
    <t>10134</t>
  </si>
  <si>
    <t>BUSTAMANTE GOEZ VICTOR ALONSO</t>
  </si>
  <si>
    <t>1047446338</t>
  </si>
  <si>
    <t>5960</t>
  </si>
  <si>
    <t>CAMACHO GOMEZ ANA MARIA</t>
  </si>
  <si>
    <t>offboarding</t>
  </si>
  <si>
    <t>1136887342</t>
  </si>
  <si>
    <t>9127</t>
  </si>
  <si>
    <t>CASTAÑO ALVAREZ PAULA ESTEFANIA</t>
  </si>
  <si>
    <t>Remofirst - SinergiaAnimal</t>
  </si>
  <si>
    <t>37</t>
  </si>
  <si>
    <t>1018482773</t>
  </si>
  <si>
    <t>9126</t>
  </si>
  <si>
    <t>CASTAÑO CORREA PAOLA CATALINA</t>
  </si>
  <si>
    <t>1218464884</t>
  </si>
  <si>
    <t>11187</t>
  </si>
  <si>
    <t>CHAVES PARRA JUAN PABLO</t>
  </si>
  <si>
    <t>1002249515</t>
  </si>
  <si>
    <t>7138</t>
  </si>
  <si>
    <t>CORDERO CAMACHO LAURA YANETH</t>
  </si>
  <si>
    <t>Remofirst - Klein &amp; Sheridan, LC</t>
  </si>
  <si>
    <t>29</t>
  </si>
  <si>
    <t>52896186</t>
  </si>
  <si>
    <t>9014</t>
  </si>
  <si>
    <t>CORREDOR CIFUENTES GLORIA PAULINA</t>
  </si>
  <si>
    <t>340881</t>
  </si>
  <si>
    <t>3983</t>
  </si>
  <si>
    <t>COYER  NICOLAS HUGUES</t>
  </si>
  <si>
    <t>Remofirst - COOP EDGAR</t>
  </si>
  <si>
    <t>18</t>
  </si>
  <si>
    <t>1032378030</t>
  </si>
  <si>
    <t>7265</t>
  </si>
  <si>
    <t>DAZA BEJARANO HANSEL</t>
  </si>
  <si>
    <t>Remofirst - Micro-Dyn Medical Systems, L</t>
  </si>
  <si>
    <t>30</t>
  </si>
  <si>
    <t>1095792024</t>
  </si>
  <si>
    <t>10129</t>
  </si>
  <si>
    <t>DIAZ RANGEL CESAR AUGUSTO</t>
  </si>
  <si>
    <t>Remofirst - BÜCHI Labortechnik AG</t>
  </si>
  <si>
    <t>45</t>
  </si>
  <si>
    <t>43612463</t>
  </si>
  <si>
    <t>14290</t>
  </si>
  <si>
    <t>DURANGO MEJIA LYDA MARIA</t>
  </si>
  <si>
    <t>1036657807</t>
  </si>
  <si>
    <t>10163</t>
  </si>
  <si>
    <t>ESCOBAR CARDONA CAROLINA</t>
  </si>
  <si>
    <t>1015462359</t>
  </si>
  <si>
    <t>2878</t>
  </si>
  <si>
    <t>FARFÁN BARRERO KAREN SOFÍA</t>
  </si>
  <si>
    <t>Remofirst - ONE FIREFLY, LLC</t>
  </si>
  <si>
    <t>13</t>
  </si>
  <si>
    <t>1011322309</t>
  </si>
  <si>
    <t>0</t>
  </si>
  <si>
    <t>FERNANDEZ ACOSTA JUANITA</t>
  </si>
  <si>
    <t>1128394920</t>
  </si>
  <si>
    <t>5425</t>
  </si>
  <si>
    <t>FRANCO MEJÍA LISSET CRISTINA</t>
  </si>
  <si>
    <t>Remofirst - Prometryx, Inc</t>
  </si>
  <si>
    <t>24</t>
  </si>
  <si>
    <t>1152185075</t>
  </si>
  <si>
    <t>13681</t>
  </si>
  <si>
    <t>GALEANO VASQUEZ DANIEL ALBERTO</t>
  </si>
  <si>
    <t>Remofirst - Roger R. Foisy Professi</t>
  </si>
  <si>
    <t>54</t>
  </si>
  <si>
    <t>29117374</t>
  </si>
  <si>
    <t>4598</t>
  </si>
  <si>
    <t>GARCIA ARRIOLA MARIA CAROLINA</t>
  </si>
  <si>
    <t>Remofirst - AMG GLOBAL DISTRIBUTION INC.</t>
  </si>
  <si>
    <t>19</t>
  </si>
  <si>
    <t>1000440251</t>
  </si>
  <si>
    <t>6970</t>
  </si>
  <si>
    <t>GIRALDO ZAPATA MARIA ANTONIA</t>
  </si>
  <si>
    <t>1019110289</t>
  </si>
  <si>
    <t>5959</t>
  </si>
  <si>
    <t>GOMEZ MEDINA MATEO</t>
  </si>
  <si>
    <t>1020103230</t>
  </si>
  <si>
    <t>9549</t>
  </si>
  <si>
    <t>GOMEZ OQUENDO ISABELLA</t>
  </si>
  <si>
    <t>1035235876</t>
  </si>
  <si>
    <t>8529</t>
  </si>
  <si>
    <t>HERRERA BOTERO CRISTIAN ANDRES</t>
  </si>
  <si>
    <t>1019140661</t>
  </si>
  <si>
    <t>13895</t>
  </si>
  <si>
    <t>HERRERA LOPEZ MARIANA</t>
  </si>
  <si>
    <t>1037612252</t>
  </si>
  <si>
    <t>5699</t>
  </si>
  <si>
    <t>HINCAPIE MONTOYA JUAN CAMILO</t>
  </si>
  <si>
    <t>94327912</t>
  </si>
  <si>
    <t>6662</t>
  </si>
  <si>
    <t>HURTADO DURAN ANDRES EDUARDO</t>
  </si>
  <si>
    <t>Remofirst - FACADE STUDIO, LLC</t>
  </si>
  <si>
    <t>27</t>
  </si>
  <si>
    <t>1036638214</t>
  </si>
  <si>
    <t>11586</t>
  </si>
  <si>
    <t>JIMENEZ RUA FELIPE</t>
  </si>
  <si>
    <t>8207192</t>
  </si>
  <si>
    <t>KLERLEIN  MARY ELEANOR</t>
  </si>
  <si>
    <t>1082990030</t>
  </si>
  <si>
    <t>10755</t>
  </si>
  <si>
    <t>LINARES SANTOS LAURA MARCELA</t>
  </si>
  <si>
    <t>1002129678</t>
  </si>
  <si>
    <t>LUNA MACÍAS MARCELA DAYANNA</t>
  </si>
  <si>
    <t>1042460319</t>
  </si>
  <si>
    <t>12375</t>
  </si>
  <si>
    <t>MANRIQUE OLIVERA EDUARDO ELIAS</t>
  </si>
  <si>
    <t>Remorfirst - LUZIDOS INC</t>
  </si>
  <si>
    <t>52</t>
  </si>
  <si>
    <t>1037325581</t>
  </si>
  <si>
    <t>12399</t>
  </si>
  <si>
    <t>MARULANDA HENAO MARIA CLARA</t>
  </si>
  <si>
    <t>1144044650</t>
  </si>
  <si>
    <t>4060</t>
  </si>
  <si>
    <t>MENDEZ DAVILA ORLANDO</t>
  </si>
  <si>
    <t>Remofirst - TC1 CORPORATION SAC</t>
  </si>
  <si>
    <t>06</t>
  </si>
  <si>
    <t>1010028032</t>
  </si>
  <si>
    <t>9874</t>
  </si>
  <si>
    <t>MIRANDA VERGARA HUYNA</t>
  </si>
  <si>
    <t>1032480835</t>
  </si>
  <si>
    <t>9083</t>
  </si>
  <si>
    <t>MUÑOZ ÁLVAREZ ANDREA</t>
  </si>
  <si>
    <t>44003699</t>
  </si>
  <si>
    <t>10131</t>
  </si>
  <si>
    <t>MURILLO ALZATE DIANA CRISTIAN</t>
  </si>
  <si>
    <t>1063305387</t>
  </si>
  <si>
    <t>13873</t>
  </si>
  <si>
    <t>MURILLO PAREJA ANDRES DAVID</t>
  </si>
  <si>
    <t>1193441943</t>
  </si>
  <si>
    <t>5675</t>
  </si>
  <si>
    <t>NAME PARADA SOFIA</t>
  </si>
  <si>
    <t>1125349017</t>
  </si>
  <si>
    <t>12189</t>
  </si>
  <si>
    <t>NEIRA GOMEZ JUAN DAVID</t>
  </si>
  <si>
    <t>1147687929</t>
  </si>
  <si>
    <t>10187</t>
  </si>
  <si>
    <t>NOMESQUE MEDINA CINDY LORENA</t>
  </si>
  <si>
    <t>1026291501</t>
  </si>
  <si>
    <t>5590</t>
  </si>
  <si>
    <t>PABON ARANGUREN MARIA ALEJANDRA</t>
  </si>
  <si>
    <t>1000546778</t>
  </si>
  <si>
    <t>PALACIO VELÁSQUEZ MARÍA ANTONIA</t>
  </si>
  <si>
    <t>1125291951</t>
  </si>
  <si>
    <t>9604</t>
  </si>
  <si>
    <t>PEREA PALACIOS DIANA PAOLA</t>
  </si>
  <si>
    <t>1020763913</t>
  </si>
  <si>
    <t>11920</t>
  </si>
  <si>
    <t>PEREZ CEPEDA JUAN PABLO</t>
  </si>
  <si>
    <t>1017216130</t>
  </si>
  <si>
    <t>13825</t>
  </si>
  <si>
    <t>PORRAS LARREA JOHN EDWIN</t>
  </si>
  <si>
    <t>1001236871</t>
  </si>
  <si>
    <t>4357</t>
  </si>
  <si>
    <t>POSADA VALENCIA SANTIAGO</t>
  </si>
  <si>
    <t>1010211641</t>
  </si>
  <si>
    <t>768</t>
  </si>
  <si>
    <t>POVEDA RUIZ CHRISTIAN NICANOR</t>
  </si>
  <si>
    <t>Remofirst - FERROUS</t>
  </si>
  <si>
    <t>02</t>
  </si>
  <si>
    <t>1022394727</t>
  </si>
  <si>
    <t>11240</t>
  </si>
  <si>
    <t>QUIÑONES GONZALEZ ANDRES FELIPE</t>
  </si>
  <si>
    <t>Remofirst - Magno Jet Industria Ltda</t>
  </si>
  <si>
    <t>49</t>
  </si>
  <si>
    <t>51916868</t>
  </si>
  <si>
    <t>14295</t>
  </si>
  <si>
    <t>QUINTERO ALVAREZ JENNYFER BERNARDA</t>
  </si>
  <si>
    <t>Remofirst - Bayview Dental Inc</t>
  </si>
  <si>
    <t>55</t>
  </si>
  <si>
    <t>8166364</t>
  </si>
  <si>
    <t>8518</t>
  </si>
  <si>
    <t>RAYMOND JOACHIN TOMAS JEAN PAUL</t>
  </si>
  <si>
    <t>Remofirst - TECNIZY-GCAT GROUP</t>
  </si>
  <si>
    <t>51</t>
  </si>
  <si>
    <t>1006011135</t>
  </si>
  <si>
    <t>14296</t>
  </si>
  <si>
    <t>REYES BEDOYA JUAN DAVID</t>
  </si>
  <si>
    <t>1023941939</t>
  </si>
  <si>
    <t>12594</t>
  </si>
  <si>
    <t>REYES VILLAMIL NICOLAS ALFONSO</t>
  </si>
  <si>
    <t>Remofirst - SEARCH WIZARDS, INC</t>
  </si>
  <si>
    <t>14</t>
  </si>
  <si>
    <t>1063305755</t>
  </si>
  <si>
    <t>14487</t>
  </si>
  <si>
    <t>RICARDO MADRID JOSE DAVID</t>
  </si>
  <si>
    <t>1006774330</t>
  </si>
  <si>
    <t>13680</t>
  </si>
  <si>
    <t>RINCON DIAZ MARIA FERNANDA</t>
  </si>
  <si>
    <t>1020491613</t>
  </si>
  <si>
    <t>RIVERA VÁSQUEZ ORIÓN ZAFIRO</t>
  </si>
  <si>
    <t>1146443670</t>
  </si>
  <si>
    <t>11332</t>
  </si>
  <si>
    <t>ROJAS CARDONA VALHERIA</t>
  </si>
  <si>
    <t>1018493348</t>
  </si>
  <si>
    <t>5657</t>
  </si>
  <si>
    <t>ROJAS NAVARRETE EMMA SORAYA</t>
  </si>
  <si>
    <t>1035435851</t>
  </si>
  <si>
    <t>10867</t>
  </si>
  <si>
    <t>RUIZ SIERRA LEYDI VANNESA</t>
  </si>
  <si>
    <t>1098746005</t>
  </si>
  <si>
    <t>2629</t>
  </si>
  <si>
    <t>RUIZ VALLEJO JUAN CAMILO</t>
  </si>
  <si>
    <t>Remofirst - R&amp;R WINDOWS</t>
  </si>
  <si>
    <t>09</t>
  </si>
  <si>
    <t>1000046368</t>
  </si>
  <si>
    <t>8643</t>
  </si>
  <si>
    <t>SALDAÑA MARTINEZ LILIANA MARIA</t>
  </si>
  <si>
    <t>1003801738</t>
  </si>
  <si>
    <t>8270</t>
  </si>
  <si>
    <t>SILVA GARCIA NICOLAS</t>
  </si>
  <si>
    <t>1220474416</t>
  </si>
  <si>
    <t>2361</t>
  </si>
  <si>
    <t>SILVA MACAREÑO CESAR ENRIQUE</t>
  </si>
  <si>
    <t>Remofirst - BGB COMUNICATIONS, LLC</t>
  </si>
  <si>
    <t>07</t>
  </si>
  <si>
    <t>1007604207</t>
  </si>
  <si>
    <t>11816</t>
  </si>
  <si>
    <t>SILVA SATIZABAL ISABELLA</t>
  </si>
  <si>
    <t>Remofirst - BRIT AI WEB SOLUTIONS LLC</t>
  </si>
  <si>
    <t>50</t>
  </si>
  <si>
    <t>1140903956</t>
  </si>
  <si>
    <t>11922</t>
  </si>
  <si>
    <t>SLEBI SLEBI DANIEL DAVID</t>
  </si>
  <si>
    <t>43877526</t>
  </si>
  <si>
    <t>9933</t>
  </si>
  <si>
    <t>TELLEZ DIEZ CAROLINA</t>
  </si>
  <si>
    <t>Remofirst - Ultramain Systems, Inc</t>
  </si>
  <si>
    <t>44</t>
  </si>
  <si>
    <t>1013622333</t>
  </si>
  <si>
    <t>9125</t>
  </si>
  <si>
    <t>TORRES ARDILA LEYDY KATHERIN</t>
  </si>
  <si>
    <t>1075316183</t>
  </si>
  <si>
    <t>11331</t>
  </si>
  <si>
    <t>TRUJILLO OCHOA CLAUDIA XIMENA</t>
  </si>
  <si>
    <t>1151945739</t>
  </si>
  <si>
    <t>10042</t>
  </si>
  <si>
    <t>VALENCIA GUTIERREZ CHRISTIAN</t>
  </si>
  <si>
    <t>Remo - Berkheimer Enterprises LLC DBA Be</t>
  </si>
  <si>
    <t>47</t>
  </si>
  <si>
    <t>1152711520</t>
  </si>
  <si>
    <t>8530</t>
  </si>
  <si>
    <t>VALENCIA VASCO VICTOR ANDREI</t>
  </si>
  <si>
    <t>1151953977</t>
  </si>
  <si>
    <t>8834</t>
  </si>
  <si>
    <t>VELASCO LAÑAS JUAN FELIPE</t>
  </si>
  <si>
    <t>Remofirst - Guard-Buildings, INC</t>
  </si>
  <si>
    <t>36</t>
  </si>
  <si>
    <t>1152459961</t>
  </si>
  <si>
    <t>6319</t>
  </si>
  <si>
    <t>VELEZ HERNANDEZ CAROLINA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</si>
</sst>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00000000"/>
    <numFmt numFmtId="165" formatCode="mmmm&quot;, &quot;yyyy"/>
    <numFmt numFmtId="166" formatCode="[$-10C0A]#,##0;\(#,##0\)"/>
    <numFmt numFmtId="167" formatCode="[$-10C0A]#,##0.00;\(#,##0.00\)"/>
  </numFmts>
  <fonts count="13" x14ac:knownFonts="1">
    <font>
      <sz val="11"/>
      <color theme="1"/>
      <name val="Aptos Narrow"/>
      <family val="2"/>
      <scheme val="minor"/>
    </font>
    <font>
      <sz val="11"/>
      <name val="Calibri"/>
      <family val="2"/>
    </font>
    <font>
      <sz val="10"/>
      <color theme="1"/>
      <name val="Calibri"/>
      <family val="2"/>
    </font>
    <font>
      <sz val="14"/>
      <color rgb="FF1C3A70"/>
      <name val="Tahoma"/>
      <family val="2"/>
    </font>
    <font>
      <sz val="10"/>
      <color theme="1"/>
      <name val="Arial"/>
      <family val="2"/>
    </font>
    <font>
      <sz val="11"/>
      <color rgb="FF000000"/>
      <name val="Aptos Narrow"/>
      <family val="2"/>
      <scheme val="minor"/>
    </font>
    <font>
      <sz val="10"/>
      <name val="Arial"/>
      <family val="2"/>
    </font>
    <font>
      <b/>
      <sz val="10"/>
      <color theme="0"/>
      <name val="Tahoma"/>
      <family val="2"/>
    </font>
    <font>
      <b/>
      <sz val="7"/>
      <color rgb="FFFFFFFF"/>
      <name val="Tahoma"/>
      <family val="2"/>
    </font>
    <font>
      <sz val="7"/>
      <color rgb="FF000000"/>
      <name val="Tahoma"/>
      <family val="2"/>
    </font>
    <font>
      <sz val="7"/>
      <color theme="1"/>
      <name val="Tahoma"/>
      <family val="2"/>
    </font>
    <font>
      <b/>
      <sz val="7"/>
      <color theme="0"/>
      <name val="Tahoma"/>
      <family val="2"/>
    </font>
    <font>
      <b/>
      <sz val="7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1F4763"/>
        <bgColor rgb="FF1F4763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rgb="FFD3D3D3"/>
      </patternFill>
    </fill>
    <fill>
      <patternFill patternType="solid">
        <fgColor theme="1"/>
        <bgColor rgb="FFD3D3D3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6E3BC"/>
        <bgColor rgb="FFD6E3BC"/>
      </patternFill>
    </fill>
    <fill>
      <patternFill patternType="solid">
        <fgColor rgb="FFDCFAFA"/>
        <bgColor rgb="FFDCFAFA"/>
      </patternFill>
    </fill>
  </fills>
  <borders count="5">
    <border>
      <left/>
      <right/>
      <top/>
      <bottom/>
      <diagonal/>
    </border>
    <border>
      <left/>
      <right/>
      <top style="thin">
        <color rgb="FFFFFFFF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 wrapText="1" readingOrder="1"/>
    </xf>
    <xf numFmtId="0" fontId="3" fillId="0" borderId="0" xfId="0" applyFont="1" applyAlignment="1">
      <alignment horizontal="left" vertical="center" readingOrder="1"/>
    </xf>
    <xf numFmtId="0" fontId="4" fillId="0" borderId="1" xfId="0" applyFont="1" applyBorder="1" applyAlignment="1">
      <alignment vertical="center" wrapText="1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2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164" fontId="1" fillId="0" borderId="0" xfId="0" applyNumberFormat="1" applyFont="1"/>
    <xf numFmtId="0" fontId="8" fillId="3" borderId="3" xfId="0" applyFont="1" applyFill="1" applyBorder="1" applyAlignment="1">
      <alignment horizontal="center" vertical="center" wrapText="1" readingOrder="1"/>
    </xf>
    <xf numFmtId="0" fontId="8" fillId="3" borderId="3" xfId="0" applyFont="1" applyFill="1" applyBorder="1" applyAlignment="1">
      <alignment horizontal="center" vertical="center" readingOrder="1"/>
    </xf>
    <xf numFmtId="0" fontId="8" fillId="4" borderId="3" xfId="0" applyFont="1" applyFill="1" applyBorder="1" applyAlignment="1">
      <alignment horizontal="center" vertical="center" wrapText="1" readingOrder="1"/>
    </xf>
    <xf numFmtId="0" fontId="8" fillId="3" borderId="4" xfId="0" applyFont="1" applyFill="1" applyBorder="1" applyAlignment="1">
      <alignment horizontal="center" vertical="center" wrapText="1" readingOrder="1"/>
    </xf>
    <xf numFmtId="0" fontId="8" fillId="0" borderId="0" xfId="0" applyFont="1" applyAlignment="1">
      <alignment horizontal="center" vertical="center" wrapText="1" readingOrder="1"/>
    </xf>
    <xf numFmtId="0" fontId="9" fillId="0" borderId="3" xfId="0" applyFont="1" applyBorder="1" applyAlignment="1">
      <alignment vertical="center" wrapText="1" readingOrder="1"/>
    </xf>
    <xf numFmtId="14" fontId="9" fillId="0" borderId="3" xfId="0" applyNumberFormat="1" applyFont="1" applyBorder="1" applyAlignment="1">
      <alignment vertical="center" wrapText="1" readingOrder="1"/>
    </xf>
    <xf numFmtId="0" fontId="9" fillId="0" borderId="3" xfId="0" applyFont="1" applyBorder="1" applyAlignment="1">
      <alignment vertical="center" readingOrder="1"/>
    </xf>
    <xf numFmtId="165" fontId="10" fillId="0" borderId="3" xfId="0" applyNumberFormat="1" applyFont="1" applyBorder="1" applyAlignment="1">
      <alignment vertical="center" wrapText="1" readingOrder="1"/>
    </xf>
    <xf numFmtId="166" fontId="9" fillId="0" borderId="3" xfId="0" applyNumberFormat="1" applyFont="1" applyBorder="1" applyAlignment="1">
      <alignment horizontal="right" vertical="center" wrapText="1" readingOrder="1"/>
    </xf>
    <xf numFmtId="166" fontId="9" fillId="5" borderId="3" xfId="0" applyNumberFormat="1" applyFont="1" applyFill="1" applyBorder="1" applyAlignment="1">
      <alignment horizontal="right" vertical="center" wrapText="1" readingOrder="1"/>
    </xf>
    <xf numFmtId="166" fontId="9" fillId="0" borderId="0" xfId="0" applyNumberFormat="1" applyFont="1" applyAlignment="1">
      <alignment horizontal="right" vertical="center" wrapText="1" readingOrder="1"/>
    </xf>
    <xf numFmtId="166" fontId="11" fillId="6" borderId="3" xfId="0" applyNumberFormat="1" applyFont="1" applyFill="1" applyBorder="1" applyAlignment="1">
      <alignment horizontal="right" vertical="center" wrapText="1" readingOrder="1"/>
    </xf>
    <xf numFmtId="166" fontId="9" fillId="7" borderId="3" xfId="0" applyNumberFormat="1" applyFont="1" applyFill="1" applyBorder="1" applyAlignment="1">
      <alignment horizontal="right" vertical="center" wrapText="1" readingOrder="1"/>
    </xf>
    <xf numFmtId="167" fontId="9" fillId="0" borderId="3" xfId="0" applyNumberFormat="1" applyFont="1" applyBorder="1" applyAlignment="1">
      <alignment horizontal="right" vertical="center" wrapText="1" readingOrder="1"/>
    </xf>
    <xf numFmtId="167" fontId="9" fillId="8" borderId="3" xfId="0" applyNumberFormat="1" applyFont="1" applyFill="1" applyBorder="1" applyAlignment="1">
      <alignment horizontal="right" vertical="center" wrapText="1" readingOrder="1"/>
    </xf>
    <xf numFmtId="167" fontId="9" fillId="9" borderId="3" xfId="0" applyNumberFormat="1" applyFont="1" applyFill="1" applyBorder="1" applyAlignment="1">
      <alignment horizontal="right" vertical="center" wrapText="1" readingOrder="1"/>
    </xf>
    <xf numFmtId="166" fontId="9" fillId="9" borderId="3" xfId="0" applyNumberFormat="1" applyFont="1" applyFill="1" applyBorder="1" applyAlignment="1">
      <alignment horizontal="right" vertical="center" wrapText="1" readingOrder="1"/>
    </xf>
    <xf numFmtId="166" fontId="12" fillId="0" borderId="3" xfId="0" applyNumberFormat="1" applyFont="1" applyBorder="1" applyAlignment="1">
      <alignment horizontal="right" vertical="center" wrapText="1" readingOrder="1"/>
    </xf>
    <xf numFmtId="43" fontId="9" fillId="9" borderId="3" xfId="0" applyNumberFormat="1" applyFont="1" applyFill="1" applyBorder="1" applyAlignment="1">
      <alignment horizontal="right" vertical="center" wrapText="1" readingOrder="1"/>
    </xf>
    <xf numFmtId="0" fontId="7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85"/>
  <sheetViews>
    <sheetView tabSelected="1" topLeftCell="AZ64" zoomScale="115" zoomScaleNormal="115" workbookViewId="0">
      <selection activeCell="BP8" sqref="BP8"/>
    </sheetView>
  </sheetViews>
  <sheetFormatPr baseColWidth="10" defaultColWidth="9.109375" defaultRowHeight="14.4" customHeight="1" x14ac:dyDescent="0.3"/>
  <cols>
    <col min="1" max="2" width="10.33203125" style="1" customWidth="1"/>
    <col min="3" max="3" width="31.109375" style="1" customWidth="1"/>
    <col min="4" max="4" width="14.44140625" style="1" customWidth="1"/>
    <col min="5" max="5" width="14.6640625" style="1" customWidth="1"/>
    <col min="6" max="6" width="20.109375" style="1" customWidth="1"/>
    <col min="7" max="7" width="11.88671875" style="1" customWidth="1"/>
    <col min="8" max="8" width="32.109375" style="1" customWidth="1"/>
    <col min="9" max="9" width="15" style="1" customWidth="1"/>
    <col min="10" max="11" width="16.109375" style="1" customWidth="1"/>
    <col min="12" max="12" width="15.33203125" style="1" customWidth="1"/>
    <col min="13" max="13" width="10" style="1" customWidth="1"/>
    <col min="14" max="14" width="12.109375" style="1" customWidth="1"/>
    <col min="15" max="17" width="10" style="1" customWidth="1"/>
    <col min="18" max="18" width="12.109375" style="1" customWidth="1"/>
    <col min="19" max="19" width="15.6640625" style="1" customWidth="1"/>
    <col min="20" max="20" width="14.33203125" style="1" customWidth="1"/>
    <col min="21" max="21" width="15.6640625" style="1" customWidth="1"/>
    <col min="22" max="31" width="12.6640625" style="1" customWidth="1"/>
    <col min="32" max="32" width="11.33203125" style="1" customWidth="1"/>
    <col min="34" max="40" width="12.5546875" style="1" customWidth="1"/>
    <col min="41" max="41" width="12.44140625" style="1" customWidth="1"/>
    <col min="43" max="43" width="9.109375" style="1" customWidth="1"/>
    <col min="44" max="45" width="11.5546875" style="1" customWidth="1"/>
    <col min="46" max="46" width="12.109375" style="1" customWidth="1"/>
    <col min="47" max="47" width="8.5546875" style="1" customWidth="1"/>
    <col min="48" max="48" width="9.88671875" style="1" customWidth="1"/>
    <col min="50" max="50" width="9.5546875" style="1" customWidth="1"/>
    <col min="51" max="51" width="10.44140625" style="1" customWidth="1"/>
    <col min="52" max="55" width="8.88671875" style="1" customWidth="1"/>
    <col min="56" max="56" width="9" style="1" customWidth="1"/>
    <col min="58" max="58" width="12.5546875" style="1" customWidth="1"/>
    <col min="59" max="59" width="11.5546875" style="1" customWidth="1"/>
    <col min="60" max="60" width="8.44140625" style="1" customWidth="1"/>
    <col min="61" max="61" width="8.88671875" style="1" customWidth="1"/>
    <col min="62" max="62" width="7.109375" style="1" customWidth="1"/>
    <col min="63" max="63" width="11.33203125" style="1" customWidth="1"/>
    <col min="64" max="64" width="12.5546875" style="1" customWidth="1"/>
    <col min="65" max="65" width="10.44140625" style="1" customWidth="1"/>
    <col min="66" max="66" width="9.44140625" style="1" customWidth="1"/>
    <col min="67" max="67" width="8.33203125" style="1" customWidth="1"/>
    <col min="68" max="68" width="12.33203125" style="1" customWidth="1"/>
    <col min="69" max="69" width="12.5546875" style="1" hidden="1" customWidth="1"/>
    <col min="70" max="70" width="10.88671875" style="1" hidden="1" customWidth="1"/>
    <col min="71" max="71" width="14.5546875" style="1" customWidth="1"/>
    <col min="72" max="79" width="9.109375" style="1" customWidth="1"/>
  </cols>
  <sheetData>
    <row r="1" spans="1:70" ht="17.399999999999999" customHeight="1" x14ac:dyDescent="0.3">
      <c r="A1" s="2"/>
      <c r="B1" s="2"/>
      <c r="C1" s="3" t="s">
        <v>0</v>
      </c>
      <c r="D1" s="3"/>
      <c r="E1" s="3"/>
      <c r="F1" s="3"/>
      <c r="G1" s="3"/>
      <c r="H1" s="4"/>
      <c r="I1" s="4"/>
      <c r="J1" s="4"/>
      <c r="K1" s="4"/>
      <c r="L1" s="4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5"/>
      <c r="AH1" s="6"/>
      <c r="AI1" s="6"/>
      <c r="AJ1" s="6"/>
      <c r="AK1" s="6"/>
      <c r="AL1" s="6"/>
      <c r="AM1" s="6"/>
      <c r="AN1" s="6"/>
      <c r="AO1" s="7"/>
      <c r="AR1" s="6"/>
      <c r="AS1" s="6"/>
      <c r="AT1" s="6"/>
      <c r="AU1" s="7"/>
      <c r="AV1" s="6"/>
      <c r="AX1" s="6"/>
      <c r="AY1" s="6"/>
      <c r="AZ1" s="6"/>
      <c r="BA1" s="6"/>
      <c r="BB1" s="6"/>
      <c r="BC1" s="6"/>
      <c r="BD1" s="7"/>
      <c r="BF1" s="6"/>
      <c r="BG1" s="6"/>
      <c r="BH1" s="6"/>
      <c r="BI1" s="6"/>
      <c r="BJ1" s="6"/>
      <c r="BK1" s="6"/>
      <c r="BL1" s="6"/>
      <c r="BM1" s="6"/>
      <c r="BN1" s="8"/>
      <c r="BO1" s="6"/>
      <c r="BP1" s="7"/>
    </row>
    <row r="2" spans="1:70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9"/>
      <c r="AH2" s="10"/>
      <c r="AI2" s="33" t="s">
        <v>1</v>
      </c>
      <c r="AJ2" s="33"/>
      <c r="AK2" s="33"/>
      <c r="AL2" s="33"/>
      <c r="AM2" s="33"/>
      <c r="AN2" s="33"/>
      <c r="AO2" s="33"/>
      <c r="AR2" s="33" t="s">
        <v>2</v>
      </c>
      <c r="AS2" s="33"/>
      <c r="AT2" s="33"/>
      <c r="AU2" s="11"/>
      <c r="AV2" s="10"/>
      <c r="AX2" s="33" t="s">
        <v>3</v>
      </c>
      <c r="AY2" s="33"/>
      <c r="AZ2" s="33"/>
      <c r="BA2" s="33"/>
      <c r="BB2" s="33"/>
      <c r="BC2" s="33"/>
      <c r="BD2" s="33"/>
      <c r="BF2" s="10"/>
      <c r="BG2" s="33" t="s">
        <v>4</v>
      </c>
      <c r="BH2" s="33"/>
      <c r="BI2" s="33"/>
      <c r="BJ2" s="33"/>
      <c r="BK2" s="33"/>
      <c r="BL2" s="33"/>
      <c r="BM2" s="33"/>
      <c r="BN2" s="33"/>
      <c r="BO2" s="33"/>
      <c r="BP2" s="33"/>
      <c r="BQ2" s="12">
        <f>1/BH4</f>
        <v>3.1250000000000001E-6</v>
      </c>
    </row>
    <row r="3" spans="1:70" ht="48.75" customHeight="1" x14ac:dyDescent="0.3">
      <c r="A3" s="13" t="s">
        <v>5</v>
      </c>
      <c r="B3" s="13" t="s">
        <v>6</v>
      </c>
      <c r="C3" s="13" t="s">
        <v>7</v>
      </c>
      <c r="D3" s="13" t="s">
        <v>8</v>
      </c>
      <c r="E3" s="13" t="s">
        <v>9</v>
      </c>
      <c r="F3" s="13" t="s">
        <v>10</v>
      </c>
      <c r="G3" s="13" t="s">
        <v>11</v>
      </c>
      <c r="H3" s="14" t="s">
        <v>12</v>
      </c>
      <c r="I3" s="14" t="s">
        <v>13</v>
      </c>
      <c r="J3" s="14" t="s">
        <v>14</v>
      </c>
      <c r="K3" s="13" t="s">
        <v>15</v>
      </c>
      <c r="L3" s="13" t="s">
        <v>16</v>
      </c>
      <c r="M3" s="13" t="s">
        <v>17</v>
      </c>
      <c r="N3" s="13" t="s">
        <v>18</v>
      </c>
      <c r="O3" s="13" t="s">
        <v>19</v>
      </c>
      <c r="P3" s="13" t="s">
        <v>20</v>
      </c>
      <c r="Q3" s="13" t="s">
        <v>21</v>
      </c>
      <c r="R3" s="15" t="s">
        <v>22</v>
      </c>
      <c r="S3" s="15" t="s">
        <v>23</v>
      </c>
      <c r="T3" s="16" t="s">
        <v>24</v>
      </c>
      <c r="U3" s="16" t="s">
        <v>25</v>
      </c>
      <c r="V3" s="13" t="s">
        <v>26</v>
      </c>
      <c r="W3" s="16" t="s">
        <v>27</v>
      </c>
      <c r="X3" s="16" t="s">
        <v>28</v>
      </c>
      <c r="Y3" s="16" t="s">
        <v>29</v>
      </c>
      <c r="Z3" s="16" t="s">
        <v>30</v>
      </c>
      <c r="AA3" s="16" t="s">
        <v>31</v>
      </c>
      <c r="AB3" s="16" t="s">
        <v>32</v>
      </c>
      <c r="AC3" s="16" t="s">
        <v>33</v>
      </c>
      <c r="AD3" s="16" t="s">
        <v>34</v>
      </c>
      <c r="AE3" s="16" t="s">
        <v>35</v>
      </c>
      <c r="AF3" s="13" t="s">
        <v>36</v>
      </c>
      <c r="AH3" s="17"/>
      <c r="AI3" s="16" t="s">
        <v>37</v>
      </c>
      <c r="AJ3" s="16" t="s">
        <v>38</v>
      </c>
      <c r="AK3" s="16" t="s">
        <v>39</v>
      </c>
      <c r="AL3" s="16" t="s">
        <v>40</v>
      </c>
      <c r="AM3" s="16" t="s">
        <v>41</v>
      </c>
      <c r="AN3" s="16" t="s">
        <v>42</v>
      </c>
      <c r="AO3" s="16" t="s">
        <v>43</v>
      </c>
      <c r="AR3" s="16" t="s">
        <v>44</v>
      </c>
      <c r="AS3" s="16" t="s">
        <v>45</v>
      </c>
      <c r="AT3" s="16" t="s">
        <v>46</v>
      </c>
      <c r="AU3" s="16" t="s">
        <v>43</v>
      </c>
      <c r="AV3" s="16" t="s">
        <v>47</v>
      </c>
      <c r="AX3" s="16" t="s">
        <v>48</v>
      </c>
      <c r="AY3" s="16" t="s">
        <v>49</v>
      </c>
      <c r="AZ3" s="16" t="s">
        <v>50</v>
      </c>
      <c r="BA3" s="16" t="s">
        <v>51</v>
      </c>
      <c r="BB3" s="16" t="s">
        <v>52</v>
      </c>
      <c r="BC3" s="16" t="s">
        <v>53</v>
      </c>
      <c r="BD3" s="16" t="s">
        <v>43</v>
      </c>
      <c r="BF3" s="17"/>
      <c r="BG3" s="16" t="s">
        <v>54</v>
      </c>
      <c r="BH3" s="16" t="s">
        <v>55</v>
      </c>
      <c r="BI3" s="16" t="s">
        <v>56</v>
      </c>
      <c r="BJ3" s="16" t="s">
        <v>57</v>
      </c>
      <c r="BK3" s="16" t="s">
        <v>58</v>
      </c>
      <c r="BL3" s="16" t="s">
        <v>59</v>
      </c>
      <c r="BM3" s="16" t="s">
        <v>60</v>
      </c>
      <c r="BN3" s="16" t="s">
        <v>61</v>
      </c>
      <c r="BO3" s="16" t="s">
        <v>62</v>
      </c>
      <c r="BP3" s="16" t="s">
        <v>63</v>
      </c>
      <c r="BQ3" s="16" t="s">
        <v>64</v>
      </c>
      <c r="BR3" s="16" t="s">
        <v>65</v>
      </c>
    </row>
    <row r="4" spans="1:70" x14ac:dyDescent="0.3">
      <c r="A4" s="18" t="s">
        <v>66</v>
      </c>
      <c r="B4" s="18" t="s">
        <v>67</v>
      </c>
      <c r="C4" s="18" t="s">
        <v>68</v>
      </c>
      <c r="D4" s="19">
        <v>45231.208518518513</v>
      </c>
      <c r="E4" s="19"/>
      <c r="F4" s="18" t="s">
        <v>69</v>
      </c>
      <c r="G4" s="18" t="s">
        <v>70</v>
      </c>
      <c r="H4" s="20" t="s">
        <v>71</v>
      </c>
      <c r="I4" s="20" t="s">
        <v>72</v>
      </c>
      <c r="J4" s="21" t="s">
        <v>73</v>
      </c>
      <c r="K4" s="20" t="s">
        <v>74</v>
      </c>
      <c r="L4" s="20">
        <f t="shared" ref="L4:L35" si="0">IF(AL4&gt;0,31.94,14.44)</f>
        <v>31.94</v>
      </c>
      <c r="M4" s="22">
        <v>11278797</v>
      </c>
      <c r="N4" s="22"/>
      <c r="O4" s="22"/>
      <c r="P4" s="22"/>
      <c r="Q4" s="22"/>
      <c r="R4" s="22"/>
      <c r="S4" s="22">
        <v>23477447</v>
      </c>
      <c r="T4" s="22"/>
      <c r="U4" s="22"/>
      <c r="V4" s="22"/>
      <c r="W4" s="22">
        <v>33314747</v>
      </c>
      <c r="X4" s="22"/>
      <c r="Y4" s="22"/>
      <c r="Z4" s="22"/>
      <c r="AA4" s="22"/>
      <c r="AB4" s="22"/>
      <c r="AC4" s="22"/>
      <c r="AD4" s="22"/>
      <c r="AE4" s="22"/>
      <c r="AF4" s="23">
        <f t="shared" ref="AF4:AF35" si="1">SUM(M4,O4,P4,Q4,R4,S4,T4,U4,V4,W4,X4,Y4,Z4,AA4,AB4,AC4,N4,AE4,AD4)</f>
        <v>68070991</v>
      </c>
      <c r="AH4" s="24"/>
      <c r="AI4" s="22">
        <v>3997810</v>
      </c>
      <c r="AJ4" s="22">
        <v>2831810</v>
      </c>
      <c r="AK4" s="22">
        <v>811600</v>
      </c>
      <c r="AL4" s="22">
        <v>1332600</v>
      </c>
      <c r="AM4" s="22">
        <v>666300</v>
      </c>
      <c r="AN4" s="22">
        <v>999500</v>
      </c>
      <c r="AO4" s="23">
        <f t="shared" ref="AO4:AO35" si="2">SUM(AL4,AJ4,AN4,AK4,AM4,AI4)</f>
        <v>10639620</v>
      </c>
      <c r="AR4" s="22">
        <v>2776229</v>
      </c>
      <c r="AS4" s="22">
        <v>2776229</v>
      </c>
      <c r="AT4" s="22">
        <v>93052</v>
      </c>
      <c r="AU4" s="23">
        <f t="shared" ref="AU4:AU35" si="3">SUM(AR4,AS4,AT4)</f>
        <v>5645510</v>
      </c>
      <c r="AV4" s="25">
        <f t="shared" ref="AV4:AV35" si="4">SUM(AO4,AU4)</f>
        <v>16285130</v>
      </c>
      <c r="AX4" s="22"/>
      <c r="AY4" s="22"/>
      <c r="AZ4" s="22"/>
      <c r="BA4" s="22"/>
      <c r="BB4" s="22"/>
      <c r="BC4" s="22"/>
      <c r="BD4" s="26">
        <f t="shared" ref="BD4:BD35" si="5">SUM(AX4,AY4,AZ4,BA4,BB4,BC4,AD4)</f>
        <v>0</v>
      </c>
      <c r="BF4" s="24"/>
      <c r="BG4" s="22">
        <f t="shared" ref="BG4:BG35" si="6">SUM(AF4,AO4,AU4,BD4,BI4)</f>
        <v>84693545.483999997</v>
      </c>
      <c r="BH4" s="22">
        <f t="shared" ref="BH4:BH35" si="7">80*BL4</f>
        <v>320000</v>
      </c>
      <c r="BI4" s="22">
        <f t="shared" ref="BI4:BI35" si="8">(AF4+AO4+AU4+BD4)*0.004</f>
        <v>337424.484</v>
      </c>
      <c r="BJ4" s="22">
        <f t="shared" ref="BJ4:BJ35" si="9">BH4*0.19</f>
        <v>60800</v>
      </c>
      <c r="BK4" s="22">
        <f t="shared" ref="BK4:BK35" si="10">SUM(BG4,BH4,BJ4)</f>
        <v>85074345.483999997</v>
      </c>
      <c r="BL4" s="27">
        <v>4000</v>
      </c>
      <c r="BM4" s="28">
        <f t="shared" ref="BM4:BM35" si="11">ROUND(BG4/BL4,2)</f>
        <v>21173.39</v>
      </c>
      <c r="BN4" s="28">
        <v>80</v>
      </c>
      <c r="BO4" s="28">
        <f t="shared" ref="BO4:BO35" si="12">ROUND(BJ4/BL4,2)</f>
        <v>15.2</v>
      </c>
      <c r="BP4" s="28">
        <f t="shared" ref="BP4:BP35" si="13">SUM(BM4,BN4,BO4)</f>
        <v>21268.59</v>
      </c>
      <c r="BQ4" s="29"/>
      <c r="BR4" s="28"/>
    </row>
    <row r="5" spans="1:70" x14ac:dyDescent="0.3">
      <c r="A5" s="18" t="s">
        <v>75</v>
      </c>
      <c r="B5" s="18" t="s">
        <v>76</v>
      </c>
      <c r="C5" s="18" t="s">
        <v>77</v>
      </c>
      <c r="D5" s="19">
        <v>45945.208518518513</v>
      </c>
      <c r="E5" s="19"/>
      <c r="F5" s="18" t="s">
        <v>69</v>
      </c>
      <c r="G5" s="18" t="s">
        <v>70</v>
      </c>
      <c r="H5" s="20" t="s">
        <v>78</v>
      </c>
      <c r="I5" s="20" t="s">
        <v>79</v>
      </c>
      <c r="J5" s="21" t="s">
        <v>73</v>
      </c>
      <c r="K5" s="20" t="s">
        <v>74</v>
      </c>
      <c r="L5" s="20">
        <f t="shared" si="0"/>
        <v>31.94</v>
      </c>
      <c r="M5" s="22">
        <v>4500000</v>
      </c>
      <c r="N5" s="22"/>
      <c r="O5" s="22"/>
      <c r="P5" s="22"/>
      <c r="Q5" s="22"/>
      <c r="R5" s="22"/>
      <c r="S5" s="22"/>
      <c r="T5" s="22"/>
      <c r="U5" s="22"/>
      <c r="V5" s="22"/>
      <c r="W5" s="22">
        <v>4500000</v>
      </c>
      <c r="X5" s="22"/>
      <c r="Y5" s="22"/>
      <c r="Z5" s="22"/>
      <c r="AA5" s="22"/>
      <c r="AB5" s="22"/>
      <c r="AC5" s="22"/>
      <c r="AE5" s="22"/>
      <c r="AF5" s="23">
        <f t="shared" si="1"/>
        <v>9000000</v>
      </c>
      <c r="AI5" s="22">
        <v>540000</v>
      </c>
      <c r="AJ5" s="22"/>
      <c r="AK5" s="22">
        <v>109700</v>
      </c>
      <c r="AL5" s="22">
        <v>180000</v>
      </c>
      <c r="AM5" s="22"/>
      <c r="AN5" s="22"/>
      <c r="AO5" s="23">
        <f t="shared" si="2"/>
        <v>829700</v>
      </c>
      <c r="AR5" s="22">
        <v>375000</v>
      </c>
      <c r="AS5" s="22">
        <v>375000</v>
      </c>
      <c r="AT5" s="22">
        <v>11250</v>
      </c>
      <c r="AU5" s="23">
        <f t="shared" si="3"/>
        <v>761250</v>
      </c>
      <c r="AV5" s="25">
        <f t="shared" si="4"/>
        <v>1590950</v>
      </c>
      <c r="AX5" s="22">
        <v>24950</v>
      </c>
      <c r="AY5" s="22"/>
      <c r="AZ5" s="22"/>
      <c r="BD5" s="26">
        <f t="shared" si="5"/>
        <v>24950</v>
      </c>
      <c r="BG5" s="22">
        <f t="shared" si="6"/>
        <v>10658363.6</v>
      </c>
      <c r="BH5" s="22">
        <f t="shared" si="7"/>
        <v>320000</v>
      </c>
      <c r="BI5" s="22">
        <f t="shared" si="8"/>
        <v>42463.6</v>
      </c>
      <c r="BJ5" s="22">
        <f t="shared" si="9"/>
        <v>60800</v>
      </c>
      <c r="BK5" s="22">
        <f t="shared" si="10"/>
        <v>11039163.6</v>
      </c>
      <c r="BL5" s="27">
        <v>4000</v>
      </c>
      <c r="BM5" s="28">
        <f t="shared" si="11"/>
        <v>2664.59</v>
      </c>
      <c r="BN5" s="28">
        <v>80</v>
      </c>
      <c r="BO5" s="28">
        <f t="shared" si="12"/>
        <v>15.2</v>
      </c>
      <c r="BP5" s="28">
        <f t="shared" si="13"/>
        <v>2759.79</v>
      </c>
    </row>
    <row r="6" spans="1:70" x14ac:dyDescent="0.3">
      <c r="A6" s="18" t="s">
        <v>80</v>
      </c>
      <c r="B6" s="18" t="s">
        <v>81</v>
      </c>
      <c r="C6" s="18" t="s">
        <v>82</v>
      </c>
      <c r="D6" s="19">
        <v>45761.208518518513</v>
      </c>
      <c r="E6" s="19"/>
      <c r="F6" s="18" t="s">
        <v>69</v>
      </c>
      <c r="G6" s="18" t="s">
        <v>70</v>
      </c>
      <c r="H6" s="20" t="s">
        <v>83</v>
      </c>
      <c r="I6" s="20" t="s">
        <v>84</v>
      </c>
      <c r="J6" s="21" t="s">
        <v>73</v>
      </c>
      <c r="K6" s="20" t="s">
        <v>74</v>
      </c>
      <c r="L6" s="20">
        <f t="shared" si="0"/>
        <v>31.94</v>
      </c>
      <c r="M6" s="22">
        <v>6300000</v>
      </c>
      <c r="N6" s="22"/>
      <c r="O6" s="22"/>
      <c r="P6" s="22"/>
      <c r="Q6" s="22"/>
      <c r="R6" s="22"/>
      <c r="S6" s="22">
        <v>6000000</v>
      </c>
      <c r="T6" s="22"/>
      <c r="U6" s="22">
        <v>170000</v>
      </c>
      <c r="V6" s="22"/>
      <c r="W6" s="22">
        <v>12579000</v>
      </c>
      <c r="X6" s="22"/>
      <c r="Y6" s="22"/>
      <c r="Z6" s="22"/>
      <c r="AA6" s="22">
        <v>109000</v>
      </c>
      <c r="AB6" s="22"/>
      <c r="AC6" s="22"/>
      <c r="AE6" s="22"/>
      <c r="AF6" s="23">
        <f t="shared" si="1"/>
        <v>25158000</v>
      </c>
      <c r="AI6" s="22">
        <v>1476000</v>
      </c>
      <c r="AJ6" s="22"/>
      <c r="AK6" s="22">
        <v>299700</v>
      </c>
      <c r="AL6" s="22">
        <v>492000</v>
      </c>
      <c r="AM6" s="22"/>
      <c r="AN6" s="22"/>
      <c r="AO6" s="23">
        <f t="shared" si="2"/>
        <v>2267700</v>
      </c>
      <c r="AR6" s="22">
        <v>1025000</v>
      </c>
      <c r="AS6" s="22">
        <v>1025000</v>
      </c>
      <c r="AT6" s="22">
        <v>25750</v>
      </c>
      <c r="AU6" s="23">
        <f t="shared" si="3"/>
        <v>2075750</v>
      </c>
      <c r="AV6" s="25">
        <f t="shared" si="4"/>
        <v>4343450</v>
      </c>
      <c r="AX6" s="22"/>
      <c r="AY6" s="22">
        <v>420575</v>
      </c>
      <c r="AZ6" s="22"/>
      <c r="BD6" s="26">
        <f t="shared" si="5"/>
        <v>420575</v>
      </c>
      <c r="BG6" s="22">
        <f t="shared" si="6"/>
        <v>30041713.100000001</v>
      </c>
      <c r="BH6" s="22">
        <f t="shared" si="7"/>
        <v>320000</v>
      </c>
      <c r="BI6" s="22">
        <f t="shared" si="8"/>
        <v>119688.1</v>
      </c>
      <c r="BJ6" s="22">
        <f t="shared" si="9"/>
        <v>60800</v>
      </c>
      <c r="BK6" s="22">
        <f t="shared" si="10"/>
        <v>30422513.100000001</v>
      </c>
      <c r="BL6" s="27">
        <v>4000</v>
      </c>
      <c r="BM6" s="28">
        <f t="shared" si="11"/>
        <v>7510.43</v>
      </c>
      <c r="BN6" s="28">
        <v>80</v>
      </c>
      <c r="BO6" s="28">
        <f t="shared" si="12"/>
        <v>15.2</v>
      </c>
      <c r="BP6" s="28">
        <f t="shared" si="13"/>
        <v>7605.63</v>
      </c>
    </row>
    <row r="7" spans="1:70" x14ac:dyDescent="0.3">
      <c r="A7" s="18" t="s">
        <v>85</v>
      </c>
      <c r="B7" s="18" t="s">
        <v>86</v>
      </c>
      <c r="C7" s="18" t="s">
        <v>87</v>
      </c>
      <c r="D7" s="19">
        <v>45959.208518518513</v>
      </c>
      <c r="E7" s="19"/>
      <c r="F7" s="18" t="s">
        <v>69</v>
      </c>
      <c r="G7" s="18" t="s">
        <v>70</v>
      </c>
      <c r="H7" s="20" t="s">
        <v>88</v>
      </c>
      <c r="I7" s="20" t="s">
        <v>89</v>
      </c>
      <c r="J7" s="21" t="s">
        <v>73</v>
      </c>
      <c r="K7" s="20" t="s">
        <v>74</v>
      </c>
      <c r="L7" s="20">
        <f t="shared" si="0"/>
        <v>31.94</v>
      </c>
      <c r="M7" s="22">
        <v>8824758</v>
      </c>
      <c r="N7" s="22"/>
      <c r="O7" s="22"/>
      <c r="P7" s="22"/>
      <c r="Q7" s="22"/>
      <c r="R7" s="22"/>
      <c r="S7" s="22"/>
      <c r="T7" s="22"/>
      <c r="U7" s="22"/>
      <c r="V7" s="22"/>
      <c r="W7" s="22">
        <v>8824758</v>
      </c>
      <c r="X7" s="22"/>
      <c r="Y7" s="22"/>
      <c r="Z7" s="22"/>
      <c r="AA7" s="22"/>
      <c r="AB7" s="22"/>
      <c r="AC7" s="22"/>
      <c r="AE7" s="22"/>
      <c r="AF7" s="23">
        <f t="shared" si="1"/>
        <v>17649516</v>
      </c>
      <c r="AI7" s="22">
        <v>1059010</v>
      </c>
      <c r="AJ7" s="22"/>
      <c r="AK7" s="22">
        <v>215000</v>
      </c>
      <c r="AL7" s="22">
        <v>353000</v>
      </c>
      <c r="AM7" s="22"/>
      <c r="AN7" s="22"/>
      <c r="AO7" s="23">
        <f t="shared" si="2"/>
        <v>1627010</v>
      </c>
      <c r="AR7" s="22">
        <v>735396</v>
      </c>
      <c r="AS7" s="22">
        <v>735396</v>
      </c>
      <c r="AT7" s="22">
        <v>22062</v>
      </c>
      <c r="AU7" s="23">
        <f t="shared" si="3"/>
        <v>1492854</v>
      </c>
      <c r="AV7" s="25">
        <f t="shared" si="4"/>
        <v>3119864</v>
      </c>
      <c r="AX7" s="22"/>
      <c r="AY7" s="22"/>
      <c r="AZ7" s="22"/>
      <c r="BD7" s="26">
        <f t="shared" si="5"/>
        <v>0</v>
      </c>
      <c r="BG7" s="22">
        <f t="shared" si="6"/>
        <v>20852457.52</v>
      </c>
      <c r="BH7" s="22">
        <f t="shared" si="7"/>
        <v>320000</v>
      </c>
      <c r="BI7" s="22">
        <f t="shared" si="8"/>
        <v>83077.52</v>
      </c>
      <c r="BJ7" s="22">
        <f t="shared" si="9"/>
        <v>60800</v>
      </c>
      <c r="BK7" s="22">
        <f t="shared" si="10"/>
        <v>21233257.52</v>
      </c>
      <c r="BL7" s="27">
        <v>4000</v>
      </c>
      <c r="BM7" s="28">
        <f t="shared" si="11"/>
        <v>5213.1099999999997</v>
      </c>
      <c r="BN7" s="28">
        <v>80</v>
      </c>
      <c r="BO7" s="28">
        <f t="shared" si="12"/>
        <v>15.2</v>
      </c>
      <c r="BP7" s="28">
        <f t="shared" si="13"/>
        <v>5308.3099999999995</v>
      </c>
    </row>
    <row r="8" spans="1:70" x14ac:dyDescent="0.3">
      <c r="A8" s="18" t="s">
        <v>90</v>
      </c>
      <c r="B8" s="18" t="s">
        <v>91</v>
      </c>
      <c r="C8" s="18" t="s">
        <v>92</v>
      </c>
      <c r="D8" s="19">
        <v>45734.208518518513</v>
      </c>
      <c r="E8" s="19"/>
      <c r="F8" s="18" t="s">
        <v>69</v>
      </c>
      <c r="G8" s="18" t="s">
        <v>70</v>
      </c>
      <c r="H8" s="20" t="s">
        <v>93</v>
      </c>
      <c r="I8" s="20" t="s">
        <v>94</v>
      </c>
      <c r="J8" s="21" t="s">
        <v>73</v>
      </c>
      <c r="K8" s="20" t="s">
        <v>74</v>
      </c>
      <c r="L8" s="20">
        <f t="shared" si="0"/>
        <v>31.94</v>
      </c>
      <c r="M8" s="22">
        <v>5888164</v>
      </c>
      <c r="N8" s="22"/>
      <c r="O8" s="22"/>
      <c r="P8" s="22"/>
      <c r="Q8" s="22"/>
      <c r="R8" s="22">
        <v>379636</v>
      </c>
      <c r="S8" s="22"/>
      <c r="T8" s="22"/>
      <c r="U8" s="22"/>
      <c r="V8" s="22"/>
      <c r="W8" s="22">
        <v>6267800</v>
      </c>
      <c r="X8" s="22"/>
      <c r="Y8" s="22"/>
      <c r="Z8" s="22"/>
      <c r="AA8" s="22"/>
      <c r="AB8" s="22"/>
      <c r="AC8" s="22"/>
      <c r="AE8" s="22"/>
      <c r="AF8" s="23">
        <f t="shared" si="1"/>
        <v>12535600</v>
      </c>
      <c r="AI8" s="22">
        <v>752371</v>
      </c>
      <c r="AJ8" s="22"/>
      <c r="AK8" s="22">
        <v>25200</v>
      </c>
      <c r="AL8" s="22">
        <v>250800</v>
      </c>
      <c r="AM8" s="22"/>
      <c r="AN8" s="22"/>
      <c r="AO8" s="23">
        <f t="shared" si="2"/>
        <v>1028371</v>
      </c>
      <c r="AR8" s="22">
        <v>514969</v>
      </c>
      <c r="AS8" s="22">
        <v>514969</v>
      </c>
      <c r="AT8" s="22">
        <v>15449</v>
      </c>
      <c r="AU8" s="23">
        <f t="shared" si="3"/>
        <v>1045387</v>
      </c>
      <c r="AV8" s="25">
        <f t="shared" si="4"/>
        <v>2073758</v>
      </c>
      <c r="AX8" s="22"/>
      <c r="AY8" s="22"/>
      <c r="AZ8" s="22"/>
      <c r="BD8" s="26">
        <f t="shared" si="5"/>
        <v>0</v>
      </c>
      <c r="BG8" s="22">
        <f t="shared" si="6"/>
        <v>14667795.432</v>
      </c>
      <c r="BH8" s="22">
        <f t="shared" si="7"/>
        <v>320000</v>
      </c>
      <c r="BI8" s="22">
        <f t="shared" si="8"/>
        <v>58437.432000000001</v>
      </c>
      <c r="BJ8" s="22">
        <f t="shared" si="9"/>
        <v>60800</v>
      </c>
      <c r="BK8" s="22">
        <f t="shared" si="10"/>
        <v>15048595.432</v>
      </c>
      <c r="BL8" s="27">
        <v>4000</v>
      </c>
      <c r="BM8" s="28">
        <f t="shared" si="11"/>
        <v>3666.95</v>
      </c>
      <c r="BN8" s="28">
        <v>80</v>
      </c>
      <c r="BO8" s="28">
        <f t="shared" si="12"/>
        <v>15.2</v>
      </c>
      <c r="BP8" s="28">
        <f t="shared" si="13"/>
        <v>3762.1499999999996</v>
      </c>
    </row>
    <row r="9" spans="1:70" x14ac:dyDescent="0.3">
      <c r="A9" s="18" t="s">
        <v>95</v>
      </c>
      <c r="B9" s="18" t="s">
        <v>96</v>
      </c>
      <c r="C9" s="18" t="s">
        <v>97</v>
      </c>
      <c r="D9" s="19">
        <v>45931.208518518513</v>
      </c>
      <c r="E9" s="19"/>
      <c r="F9" s="18" t="s">
        <v>69</v>
      </c>
      <c r="G9" s="18" t="s">
        <v>70</v>
      </c>
      <c r="H9" s="20" t="s">
        <v>98</v>
      </c>
      <c r="I9" s="20" t="s">
        <v>99</v>
      </c>
      <c r="J9" s="21" t="s">
        <v>73</v>
      </c>
      <c r="K9" s="20" t="s">
        <v>74</v>
      </c>
      <c r="L9" s="20">
        <f t="shared" si="0"/>
        <v>31.94</v>
      </c>
      <c r="M9" s="22">
        <v>11000000</v>
      </c>
      <c r="N9" s="22"/>
      <c r="O9" s="22"/>
      <c r="P9" s="22"/>
      <c r="Q9" s="22"/>
      <c r="R9" s="22"/>
      <c r="S9" s="22"/>
      <c r="T9" s="22"/>
      <c r="U9" s="22"/>
      <c r="V9" s="22"/>
      <c r="W9" s="22">
        <v>11000000</v>
      </c>
      <c r="X9" s="22"/>
      <c r="Y9" s="22"/>
      <c r="Z9" s="22"/>
      <c r="AA9" s="22"/>
      <c r="AB9" s="22"/>
      <c r="AC9" s="22"/>
      <c r="AE9" s="22"/>
      <c r="AF9" s="23">
        <f t="shared" si="1"/>
        <v>22000000</v>
      </c>
      <c r="AI9" s="22">
        <v>1320000</v>
      </c>
      <c r="AJ9" s="22"/>
      <c r="AK9" s="22">
        <v>268000</v>
      </c>
      <c r="AL9" s="22">
        <v>440000</v>
      </c>
      <c r="AM9" s="22"/>
      <c r="AN9" s="22"/>
      <c r="AO9" s="23">
        <f t="shared" si="2"/>
        <v>2028000</v>
      </c>
      <c r="AR9" s="22">
        <v>916666</v>
      </c>
      <c r="AS9" s="22">
        <v>916666</v>
      </c>
      <c r="AT9" s="22">
        <v>27500</v>
      </c>
      <c r="AU9" s="23">
        <f t="shared" si="3"/>
        <v>1860832</v>
      </c>
      <c r="AV9" s="25">
        <f t="shared" si="4"/>
        <v>3888832</v>
      </c>
      <c r="AX9" s="22"/>
      <c r="AY9" s="22"/>
      <c r="AZ9" s="22"/>
      <c r="BD9" s="26">
        <f t="shared" si="5"/>
        <v>0</v>
      </c>
      <c r="BG9" s="22">
        <f t="shared" si="6"/>
        <v>25992387.328000002</v>
      </c>
      <c r="BH9" s="22">
        <f t="shared" si="7"/>
        <v>320000</v>
      </c>
      <c r="BI9" s="22">
        <f t="shared" si="8"/>
        <v>103555.32800000001</v>
      </c>
      <c r="BJ9" s="22">
        <f t="shared" si="9"/>
        <v>60800</v>
      </c>
      <c r="BK9" s="22">
        <f t="shared" si="10"/>
        <v>26373187.328000002</v>
      </c>
      <c r="BL9" s="27">
        <v>4000</v>
      </c>
      <c r="BM9" s="28">
        <f t="shared" si="11"/>
        <v>6498.1</v>
      </c>
      <c r="BN9" s="28">
        <v>80</v>
      </c>
      <c r="BO9" s="28">
        <f t="shared" si="12"/>
        <v>15.2</v>
      </c>
      <c r="BP9" s="28">
        <f t="shared" si="13"/>
        <v>6593.3</v>
      </c>
    </row>
    <row r="10" spans="1:70" x14ac:dyDescent="0.3">
      <c r="A10" s="18" t="s">
        <v>100</v>
      </c>
      <c r="B10" s="18" t="s">
        <v>101</v>
      </c>
      <c r="C10" s="18" t="s">
        <v>102</v>
      </c>
      <c r="D10" s="19">
        <v>45881.208518518513</v>
      </c>
      <c r="E10" s="19"/>
      <c r="F10" s="18" t="s">
        <v>69</v>
      </c>
      <c r="G10" s="18" t="s">
        <v>70</v>
      </c>
      <c r="H10" s="20" t="s">
        <v>103</v>
      </c>
      <c r="I10" s="20" t="s">
        <v>104</v>
      </c>
      <c r="J10" s="21" t="s">
        <v>73</v>
      </c>
      <c r="K10" s="20" t="s">
        <v>74</v>
      </c>
      <c r="L10" s="20">
        <f t="shared" si="0"/>
        <v>31.94</v>
      </c>
      <c r="M10" s="22">
        <v>6049313</v>
      </c>
      <c r="N10" s="22"/>
      <c r="O10" s="22"/>
      <c r="P10" s="22"/>
      <c r="Q10" s="22"/>
      <c r="R10" s="22"/>
      <c r="S10" s="22"/>
      <c r="T10" s="22"/>
      <c r="U10" s="22"/>
      <c r="V10" s="22"/>
      <c r="W10" s="22">
        <v>6049313</v>
      </c>
      <c r="X10" s="22"/>
      <c r="Y10" s="22"/>
      <c r="Z10" s="22"/>
      <c r="AA10" s="22"/>
      <c r="AB10" s="22"/>
      <c r="AC10" s="22"/>
      <c r="AE10" s="22"/>
      <c r="AF10" s="23">
        <f t="shared" si="1"/>
        <v>12098626</v>
      </c>
      <c r="AI10" s="22">
        <v>725927</v>
      </c>
      <c r="AJ10" s="22"/>
      <c r="AK10" s="22">
        <v>147400</v>
      </c>
      <c r="AL10" s="22">
        <v>242000</v>
      </c>
      <c r="AM10" s="22"/>
      <c r="AN10" s="22"/>
      <c r="AO10" s="23">
        <f t="shared" si="2"/>
        <v>1115327</v>
      </c>
      <c r="AR10" s="22">
        <v>504110</v>
      </c>
      <c r="AS10" s="22">
        <v>504110</v>
      </c>
      <c r="AT10" s="22">
        <v>15123</v>
      </c>
      <c r="AU10" s="23">
        <f t="shared" si="3"/>
        <v>1023343</v>
      </c>
      <c r="AV10" s="25">
        <f t="shared" si="4"/>
        <v>2138670</v>
      </c>
      <c r="AX10" s="22"/>
      <c r="AY10" s="22"/>
      <c r="AZ10" s="22"/>
      <c r="BD10" s="26">
        <f t="shared" si="5"/>
        <v>0</v>
      </c>
      <c r="BG10" s="22">
        <f t="shared" si="6"/>
        <v>14294245.184</v>
      </c>
      <c r="BH10" s="22">
        <f t="shared" si="7"/>
        <v>320000</v>
      </c>
      <c r="BI10" s="22">
        <f t="shared" si="8"/>
        <v>56949.184000000001</v>
      </c>
      <c r="BJ10" s="22">
        <f t="shared" si="9"/>
        <v>60800</v>
      </c>
      <c r="BK10" s="22">
        <f t="shared" si="10"/>
        <v>14675045.184</v>
      </c>
      <c r="BL10" s="27">
        <v>4000</v>
      </c>
      <c r="BM10" s="28">
        <f t="shared" si="11"/>
        <v>3573.56</v>
      </c>
      <c r="BN10" s="28">
        <v>80</v>
      </c>
      <c r="BO10" s="28">
        <f t="shared" si="12"/>
        <v>15.2</v>
      </c>
      <c r="BP10" s="28">
        <f t="shared" si="13"/>
        <v>3668.7599999999998</v>
      </c>
    </row>
    <row r="11" spans="1:70" x14ac:dyDescent="0.3">
      <c r="A11" s="18" t="s">
        <v>105</v>
      </c>
      <c r="B11" s="18" t="s">
        <v>106</v>
      </c>
      <c r="C11" s="18" t="s">
        <v>107</v>
      </c>
      <c r="D11" s="19">
        <v>45992.208518518513</v>
      </c>
      <c r="E11" s="19"/>
      <c r="F11" s="18" t="s">
        <v>69</v>
      </c>
      <c r="G11" s="18" t="s">
        <v>70</v>
      </c>
      <c r="H11" s="20" t="s">
        <v>93</v>
      </c>
      <c r="I11" s="20" t="s">
        <v>94</v>
      </c>
      <c r="J11" s="21" t="s">
        <v>73</v>
      </c>
      <c r="K11" s="20" t="s">
        <v>74</v>
      </c>
      <c r="L11" s="20">
        <f t="shared" si="0"/>
        <v>31.94</v>
      </c>
      <c r="M11" s="22">
        <v>3800000</v>
      </c>
      <c r="N11" s="22"/>
      <c r="O11" s="22"/>
      <c r="P11" s="22"/>
      <c r="Q11" s="22"/>
      <c r="R11" s="22">
        <v>248727</v>
      </c>
      <c r="S11" s="22"/>
      <c r="T11" s="22"/>
      <c r="U11" s="22"/>
      <c r="V11" s="22"/>
      <c r="W11" s="22">
        <v>4048727</v>
      </c>
      <c r="X11" s="22"/>
      <c r="Y11" s="22"/>
      <c r="Z11" s="22"/>
      <c r="AA11" s="22"/>
      <c r="AB11" s="22"/>
      <c r="AC11" s="22"/>
      <c r="AE11" s="22"/>
      <c r="AF11" s="23">
        <f t="shared" si="1"/>
        <v>8097454</v>
      </c>
      <c r="AI11" s="22">
        <v>485851</v>
      </c>
      <c r="AJ11" s="22"/>
      <c r="AK11" s="22">
        <v>21200</v>
      </c>
      <c r="AL11" s="22">
        <v>162000</v>
      </c>
      <c r="AM11" s="22"/>
      <c r="AN11" s="22"/>
      <c r="AO11" s="23">
        <f t="shared" si="2"/>
        <v>669051</v>
      </c>
      <c r="AR11" s="22">
        <v>337394</v>
      </c>
      <c r="AS11" s="22">
        <v>337394</v>
      </c>
      <c r="AT11" s="22">
        <v>10122</v>
      </c>
      <c r="AU11" s="23">
        <f t="shared" si="3"/>
        <v>684910</v>
      </c>
      <c r="AV11" s="25">
        <f t="shared" si="4"/>
        <v>1353961</v>
      </c>
      <c r="AX11" s="22"/>
      <c r="AY11" s="22"/>
      <c r="AZ11" s="22"/>
      <c r="BD11" s="26">
        <f t="shared" si="5"/>
        <v>0</v>
      </c>
      <c r="BG11" s="22">
        <f t="shared" si="6"/>
        <v>9489220.6600000001</v>
      </c>
      <c r="BH11" s="22">
        <f t="shared" si="7"/>
        <v>320000</v>
      </c>
      <c r="BI11" s="22">
        <f t="shared" si="8"/>
        <v>37805.660000000003</v>
      </c>
      <c r="BJ11" s="22">
        <f t="shared" si="9"/>
        <v>60800</v>
      </c>
      <c r="BK11" s="22">
        <f t="shared" si="10"/>
        <v>9870020.6600000001</v>
      </c>
      <c r="BL11" s="27">
        <v>4000</v>
      </c>
      <c r="BM11" s="28">
        <f t="shared" si="11"/>
        <v>2372.31</v>
      </c>
      <c r="BN11" s="28">
        <v>80</v>
      </c>
      <c r="BO11" s="28">
        <f t="shared" si="12"/>
        <v>15.2</v>
      </c>
      <c r="BP11" s="28">
        <f t="shared" si="13"/>
        <v>2467.5099999999998</v>
      </c>
    </row>
    <row r="12" spans="1:70" x14ac:dyDescent="0.3">
      <c r="A12" s="18" t="s">
        <v>108</v>
      </c>
      <c r="B12" s="18" t="s">
        <v>109</v>
      </c>
      <c r="C12" s="18" t="s">
        <v>110</v>
      </c>
      <c r="D12" s="19">
        <v>45987.208518518513</v>
      </c>
      <c r="E12" s="19">
        <v>46351.208518518513</v>
      </c>
      <c r="F12" s="18" t="s">
        <v>69</v>
      </c>
      <c r="G12" s="18" t="s">
        <v>70</v>
      </c>
      <c r="H12" s="20" t="s">
        <v>111</v>
      </c>
      <c r="I12" s="20" t="s">
        <v>112</v>
      </c>
      <c r="J12" s="21" t="s">
        <v>73</v>
      </c>
      <c r="K12" s="20" t="s">
        <v>74</v>
      </c>
      <c r="L12" s="20">
        <f t="shared" si="0"/>
        <v>31.94</v>
      </c>
      <c r="M12" s="22">
        <v>4100000</v>
      </c>
      <c r="N12" s="22"/>
      <c r="O12" s="22"/>
      <c r="P12" s="22"/>
      <c r="Q12" s="22"/>
      <c r="R12" s="22"/>
      <c r="S12" s="22"/>
      <c r="T12" s="22"/>
      <c r="U12" s="22"/>
      <c r="V12" s="22"/>
      <c r="W12" s="22">
        <v>4100000</v>
      </c>
      <c r="X12" s="22"/>
      <c r="Y12" s="22"/>
      <c r="Z12" s="22"/>
      <c r="AA12" s="22"/>
      <c r="AB12" s="22"/>
      <c r="AC12" s="22"/>
      <c r="AE12" s="22"/>
      <c r="AF12" s="23">
        <f t="shared" si="1"/>
        <v>8200000</v>
      </c>
      <c r="AI12" s="22">
        <v>492000</v>
      </c>
      <c r="AJ12" s="22"/>
      <c r="AK12" s="22">
        <v>21500</v>
      </c>
      <c r="AL12" s="22">
        <v>164000</v>
      </c>
      <c r="AM12" s="22"/>
      <c r="AN12" s="22"/>
      <c r="AO12" s="23">
        <f t="shared" si="2"/>
        <v>677500</v>
      </c>
      <c r="AR12" s="22">
        <v>341666</v>
      </c>
      <c r="AS12" s="22">
        <v>341666</v>
      </c>
      <c r="AT12" s="22">
        <v>10250</v>
      </c>
      <c r="AU12" s="23">
        <f t="shared" si="3"/>
        <v>693582</v>
      </c>
      <c r="AV12" s="25">
        <f t="shared" si="4"/>
        <v>1371082</v>
      </c>
      <c r="AX12" s="22"/>
      <c r="AY12" s="22"/>
      <c r="AZ12" s="22"/>
      <c r="BD12" s="26">
        <f t="shared" si="5"/>
        <v>0</v>
      </c>
      <c r="BG12" s="22">
        <f t="shared" si="6"/>
        <v>9609366.3279999997</v>
      </c>
      <c r="BH12" s="22">
        <f t="shared" si="7"/>
        <v>320000</v>
      </c>
      <c r="BI12" s="22">
        <f t="shared" si="8"/>
        <v>38284.328000000001</v>
      </c>
      <c r="BJ12" s="22">
        <f t="shared" si="9"/>
        <v>60800</v>
      </c>
      <c r="BK12" s="22">
        <f t="shared" si="10"/>
        <v>9990166.3279999997</v>
      </c>
      <c r="BL12" s="27">
        <v>4000</v>
      </c>
      <c r="BM12" s="28">
        <f t="shared" si="11"/>
        <v>2402.34</v>
      </c>
      <c r="BN12" s="28">
        <v>80</v>
      </c>
      <c r="BO12" s="28">
        <f t="shared" si="12"/>
        <v>15.2</v>
      </c>
      <c r="BP12" s="28">
        <f t="shared" si="13"/>
        <v>2497.54</v>
      </c>
    </row>
    <row r="13" spans="1:70" x14ac:dyDescent="0.3">
      <c r="A13" s="18" t="s">
        <v>113</v>
      </c>
      <c r="B13" s="18" t="s">
        <v>114</v>
      </c>
      <c r="C13" s="18" t="s">
        <v>115</v>
      </c>
      <c r="D13" s="19">
        <v>44847.208518518513</v>
      </c>
      <c r="E13" s="19"/>
      <c r="F13" s="18" t="s">
        <v>69</v>
      </c>
      <c r="G13" s="18" t="s">
        <v>70</v>
      </c>
      <c r="H13" s="20" t="s">
        <v>116</v>
      </c>
      <c r="I13" s="20" t="s">
        <v>117</v>
      </c>
      <c r="J13" s="21" t="s">
        <v>73</v>
      </c>
      <c r="K13" s="20" t="s">
        <v>74</v>
      </c>
      <c r="L13" s="20">
        <f t="shared" si="0"/>
        <v>31.94</v>
      </c>
      <c r="M13" s="22">
        <v>36000000</v>
      </c>
      <c r="N13" s="22"/>
      <c r="O13" s="22"/>
      <c r="P13" s="22"/>
      <c r="Q13" s="22"/>
      <c r="R13" s="22"/>
      <c r="S13" s="22"/>
      <c r="T13" s="22"/>
      <c r="U13" s="22"/>
      <c r="V13" s="22"/>
      <c r="W13" s="22">
        <v>36000000</v>
      </c>
      <c r="X13" s="22"/>
      <c r="Y13" s="22"/>
      <c r="Z13" s="22"/>
      <c r="AA13" s="22"/>
      <c r="AB13" s="22"/>
      <c r="AC13" s="22"/>
      <c r="AE13" s="22"/>
      <c r="AF13" s="23">
        <f t="shared" si="1"/>
        <v>72000000</v>
      </c>
      <c r="AI13" s="22">
        <v>3024000</v>
      </c>
      <c r="AJ13" s="22">
        <v>2142000</v>
      </c>
      <c r="AK13" s="22">
        <v>613900</v>
      </c>
      <c r="AL13" s="22">
        <v>1008000</v>
      </c>
      <c r="AM13" s="22">
        <v>504000</v>
      </c>
      <c r="AN13" s="22">
        <v>756000</v>
      </c>
      <c r="AO13" s="23">
        <f t="shared" si="2"/>
        <v>8047900</v>
      </c>
      <c r="AR13" s="22"/>
      <c r="AS13" s="22"/>
      <c r="AT13" s="22"/>
      <c r="AU13" s="23">
        <f t="shared" si="3"/>
        <v>0</v>
      </c>
      <c r="AV13" s="25">
        <f t="shared" si="4"/>
        <v>8047900</v>
      </c>
      <c r="AX13" s="22"/>
      <c r="AY13" s="22"/>
      <c r="AZ13" s="22"/>
      <c r="BD13" s="26">
        <f t="shared" si="5"/>
        <v>0</v>
      </c>
      <c r="BG13" s="22">
        <f t="shared" si="6"/>
        <v>80368091.599999994</v>
      </c>
      <c r="BH13" s="22">
        <f t="shared" si="7"/>
        <v>320000</v>
      </c>
      <c r="BI13" s="22">
        <f t="shared" si="8"/>
        <v>320191.60000000003</v>
      </c>
      <c r="BJ13" s="22">
        <f t="shared" si="9"/>
        <v>60800</v>
      </c>
      <c r="BK13" s="22">
        <f t="shared" si="10"/>
        <v>80748891.599999994</v>
      </c>
      <c r="BL13" s="27">
        <v>4000</v>
      </c>
      <c r="BM13" s="28">
        <f t="shared" si="11"/>
        <v>20092.02</v>
      </c>
      <c r="BN13" s="28">
        <v>80</v>
      </c>
      <c r="BO13" s="28">
        <f t="shared" si="12"/>
        <v>15.2</v>
      </c>
      <c r="BP13" s="28">
        <f t="shared" si="13"/>
        <v>20187.22</v>
      </c>
    </row>
    <row r="14" spans="1:70" x14ac:dyDescent="0.3">
      <c r="A14" s="18" t="s">
        <v>118</v>
      </c>
      <c r="B14" s="18" t="s">
        <v>119</v>
      </c>
      <c r="C14" s="18" t="s">
        <v>120</v>
      </c>
      <c r="D14" s="19">
        <v>45915.208518518513</v>
      </c>
      <c r="E14" s="19"/>
      <c r="F14" s="18" t="s">
        <v>69</v>
      </c>
      <c r="G14" s="18" t="s">
        <v>70</v>
      </c>
      <c r="H14" s="20" t="s">
        <v>93</v>
      </c>
      <c r="I14" s="20" t="s">
        <v>94</v>
      </c>
      <c r="J14" s="21" t="s">
        <v>73</v>
      </c>
      <c r="K14" s="20" t="s">
        <v>74</v>
      </c>
      <c r="L14" s="20">
        <f t="shared" si="0"/>
        <v>31.94</v>
      </c>
      <c r="M14" s="22">
        <v>3200000</v>
      </c>
      <c r="N14" s="22"/>
      <c r="O14" s="22"/>
      <c r="P14" s="22"/>
      <c r="Q14" s="22"/>
      <c r="R14" s="22">
        <v>209455</v>
      </c>
      <c r="S14" s="22">
        <v>111150</v>
      </c>
      <c r="T14" s="22"/>
      <c r="U14" s="22"/>
      <c r="V14" s="22"/>
      <c r="W14" s="22">
        <v>3769700</v>
      </c>
      <c r="X14" s="22"/>
      <c r="Y14" s="22"/>
      <c r="Z14" s="22">
        <v>249095</v>
      </c>
      <c r="AA14" s="22"/>
      <c r="AB14" s="22"/>
      <c r="AC14" s="22"/>
      <c r="AE14" s="22"/>
      <c r="AF14" s="23">
        <f t="shared" si="1"/>
        <v>7539400</v>
      </c>
      <c r="AI14" s="22">
        <v>422476</v>
      </c>
      <c r="AJ14" s="22"/>
      <c r="AK14" s="22">
        <v>18400</v>
      </c>
      <c r="AL14" s="22">
        <v>140900</v>
      </c>
      <c r="AM14" s="22"/>
      <c r="AN14" s="22"/>
      <c r="AO14" s="23">
        <f t="shared" si="2"/>
        <v>581776</v>
      </c>
      <c r="AR14" s="22">
        <v>314141</v>
      </c>
      <c r="AS14" s="22">
        <v>314141</v>
      </c>
      <c r="AT14" s="22">
        <v>9473</v>
      </c>
      <c r="AU14" s="23">
        <f t="shared" si="3"/>
        <v>637755</v>
      </c>
      <c r="AV14" s="25">
        <f t="shared" si="4"/>
        <v>1219531</v>
      </c>
      <c r="AX14" s="22"/>
      <c r="AY14" s="22"/>
      <c r="AZ14" s="22"/>
      <c r="BD14" s="26">
        <f t="shared" si="5"/>
        <v>0</v>
      </c>
      <c r="BG14" s="22">
        <f t="shared" si="6"/>
        <v>8793966.7239999995</v>
      </c>
      <c r="BH14" s="22">
        <f t="shared" si="7"/>
        <v>320000</v>
      </c>
      <c r="BI14" s="22">
        <f t="shared" si="8"/>
        <v>35035.724000000002</v>
      </c>
      <c r="BJ14" s="22">
        <f t="shared" si="9"/>
        <v>60800</v>
      </c>
      <c r="BK14" s="22">
        <f t="shared" si="10"/>
        <v>9174766.7239999995</v>
      </c>
      <c r="BL14" s="27">
        <v>4000</v>
      </c>
      <c r="BM14" s="28">
        <f t="shared" si="11"/>
        <v>2198.4899999999998</v>
      </c>
      <c r="BN14" s="28">
        <v>80</v>
      </c>
      <c r="BO14" s="28">
        <f t="shared" si="12"/>
        <v>15.2</v>
      </c>
      <c r="BP14" s="28">
        <f t="shared" si="13"/>
        <v>2293.6899999999996</v>
      </c>
    </row>
    <row r="15" spans="1:70" x14ac:dyDescent="0.3">
      <c r="A15" s="18" t="s">
        <v>121</v>
      </c>
      <c r="B15" s="18" t="s">
        <v>122</v>
      </c>
      <c r="C15" s="18" t="s">
        <v>123</v>
      </c>
      <c r="D15" s="19">
        <v>45520.208518518513</v>
      </c>
      <c r="E15" s="19"/>
      <c r="F15" s="18" t="s">
        <v>69</v>
      </c>
      <c r="G15" s="18" t="s">
        <v>70</v>
      </c>
      <c r="H15" s="20" t="s">
        <v>111</v>
      </c>
      <c r="I15" s="20" t="s">
        <v>112</v>
      </c>
      <c r="J15" s="21" t="s">
        <v>73</v>
      </c>
      <c r="K15" s="20" t="s">
        <v>74</v>
      </c>
      <c r="L15" s="20">
        <f t="shared" si="0"/>
        <v>31.94</v>
      </c>
      <c r="M15" s="22">
        <v>7598451</v>
      </c>
      <c r="N15" s="22"/>
      <c r="O15" s="22"/>
      <c r="P15" s="22"/>
      <c r="Q15" s="22"/>
      <c r="R15" s="22"/>
      <c r="S15" s="22"/>
      <c r="T15" s="22"/>
      <c r="U15" s="22"/>
      <c r="V15" s="22"/>
      <c r="W15" s="22">
        <v>7598451</v>
      </c>
      <c r="X15" s="22"/>
      <c r="Y15" s="22"/>
      <c r="Z15" s="22"/>
      <c r="AA15" s="22"/>
      <c r="AB15" s="22"/>
      <c r="AC15" s="22"/>
      <c r="AE15" s="22"/>
      <c r="AF15" s="23">
        <f t="shared" si="1"/>
        <v>15196902</v>
      </c>
      <c r="AI15" s="22">
        <v>911798</v>
      </c>
      <c r="AJ15" s="22"/>
      <c r="AK15" s="22">
        <v>38400</v>
      </c>
      <c r="AL15" s="22">
        <v>304000</v>
      </c>
      <c r="AM15" s="22"/>
      <c r="AN15" s="22"/>
      <c r="AO15" s="23">
        <f t="shared" si="2"/>
        <v>1254198</v>
      </c>
      <c r="AR15" s="22">
        <v>633128</v>
      </c>
      <c r="AS15" s="22">
        <v>633128</v>
      </c>
      <c r="AT15" s="22">
        <v>18994</v>
      </c>
      <c r="AU15" s="23">
        <f t="shared" si="3"/>
        <v>1285250</v>
      </c>
      <c r="AV15" s="25">
        <f t="shared" si="4"/>
        <v>2539448</v>
      </c>
      <c r="AX15" s="22"/>
      <c r="AY15" s="22"/>
      <c r="AZ15" s="22"/>
      <c r="BD15" s="26">
        <f t="shared" si="5"/>
        <v>0</v>
      </c>
      <c r="BG15" s="22">
        <f t="shared" si="6"/>
        <v>17807295.399999999</v>
      </c>
      <c r="BH15" s="22">
        <f t="shared" si="7"/>
        <v>320000</v>
      </c>
      <c r="BI15" s="22">
        <f t="shared" si="8"/>
        <v>70945.400000000009</v>
      </c>
      <c r="BJ15" s="22">
        <f t="shared" si="9"/>
        <v>60800</v>
      </c>
      <c r="BK15" s="22">
        <f t="shared" si="10"/>
        <v>18188095.399999999</v>
      </c>
      <c r="BL15" s="27">
        <v>4000</v>
      </c>
      <c r="BM15" s="28">
        <f t="shared" si="11"/>
        <v>4451.82</v>
      </c>
      <c r="BN15" s="28">
        <v>80</v>
      </c>
      <c r="BO15" s="28">
        <f t="shared" si="12"/>
        <v>15.2</v>
      </c>
      <c r="BP15" s="28">
        <f t="shared" si="13"/>
        <v>4547.0199999999995</v>
      </c>
    </row>
    <row r="16" spans="1:70" x14ac:dyDescent="0.3">
      <c r="A16" s="18" t="s">
        <v>124</v>
      </c>
      <c r="B16" s="18" t="s">
        <v>125</v>
      </c>
      <c r="C16" s="18" t="s">
        <v>126</v>
      </c>
      <c r="D16" s="19">
        <v>45796.208518518513</v>
      </c>
      <c r="E16" s="19"/>
      <c r="F16" s="18" t="s">
        <v>69</v>
      </c>
      <c r="G16" s="18" t="s">
        <v>70</v>
      </c>
      <c r="H16" s="20" t="s">
        <v>93</v>
      </c>
      <c r="I16" s="20" t="s">
        <v>94</v>
      </c>
      <c r="J16" s="21" t="s">
        <v>73</v>
      </c>
      <c r="K16" s="20" t="s">
        <v>74</v>
      </c>
      <c r="L16" s="20">
        <f t="shared" si="0"/>
        <v>31.94</v>
      </c>
      <c r="M16" s="22">
        <v>2916667</v>
      </c>
      <c r="N16" s="22"/>
      <c r="O16" s="22">
        <v>671587</v>
      </c>
      <c r="P16" s="22"/>
      <c r="Q16" s="22"/>
      <c r="R16" s="22">
        <v>229091</v>
      </c>
      <c r="S16" s="22">
        <v>1184000</v>
      </c>
      <c r="T16" s="22"/>
      <c r="U16" s="22"/>
      <c r="V16" s="22"/>
      <c r="W16" s="22">
        <v>5208924</v>
      </c>
      <c r="X16" s="22"/>
      <c r="Y16" s="22"/>
      <c r="Z16" s="22">
        <v>207579</v>
      </c>
      <c r="AA16" s="22"/>
      <c r="AB16" s="22"/>
      <c r="AC16" s="22"/>
      <c r="AE16" s="22"/>
      <c r="AF16" s="23">
        <f t="shared" si="1"/>
        <v>10417848</v>
      </c>
      <c r="AI16" s="22"/>
      <c r="AJ16" s="22"/>
      <c r="AK16" s="22">
        <v>22700</v>
      </c>
      <c r="AL16" s="22">
        <v>173200</v>
      </c>
      <c r="AM16" s="22"/>
      <c r="AN16" s="22"/>
      <c r="AO16" s="23">
        <f t="shared" si="2"/>
        <v>195900</v>
      </c>
      <c r="AR16" s="22">
        <v>430182</v>
      </c>
      <c r="AS16" s="22">
        <v>430182</v>
      </c>
      <c r="AT16" s="22">
        <v>12419</v>
      </c>
      <c r="AU16" s="23">
        <f t="shared" si="3"/>
        <v>872783</v>
      </c>
      <c r="AV16" s="25">
        <f t="shared" si="4"/>
        <v>1068683</v>
      </c>
      <c r="AX16" s="22"/>
      <c r="AY16" s="22"/>
      <c r="AZ16" s="22"/>
      <c r="BD16" s="26">
        <f t="shared" si="5"/>
        <v>0</v>
      </c>
      <c r="BG16" s="22">
        <f t="shared" si="6"/>
        <v>11532477.124</v>
      </c>
      <c r="BH16" s="22">
        <f t="shared" si="7"/>
        <v>320000</v>
      </c>
      <c r="BI16" s="22">
        <f t="shared" si="8"/>
        <v>45946.124000000003</v>
      </c>
      <c r="BJ16" s="22">
        <f t="shared" si="9"/>
        <v>60800</v>
      </c>
      <c r="BK16" s="22">
        <f t="shared" si="10"/>
        <v>11913277.124</v>
      </c>
      <c r="BL16" s="27">
        <v>4000</v>
      </c>
      <c r="BM16" s="28">
        <f t="shared" si="11"/>
        <v>2883.12</v>
      </c>
      <c r="BN16" s="28">
        <v>80</v>
      </c>
      <c r="BO16" s="28">
        <f t="shared" si="12"/>
        <v>15.2</v>
      </c>
      <c r="BP16" s="28">
        <f t="shared" si="13"/>
        <v>2978.3199999999997</v>
      </c>
    </row>
    <row r="17" spans="1:68" x14ac:dyDescent="0.3">
      <c r="A17" s="18" t="s">
        <v>127</v>
      </c>
      <c r="B17" s="18" t="s">
        <v>128</v>
      </c>
      <c r="C17" s="18" t="s">
        <v>129</v>
      </c>
      <c r="D17" s="19">
        <v>45551.208518518513</v>
      </c>
      <c r="E17" s="19">
        <v>46069.208518518513</v>
      </c>
      <c r="F17" s="18" t="s">
        <v>130</v>
      </c>
      <c r="G17" s="18" t="s">
        <v>70</v>
      </c>
      <c r="H17" s="20" t="s">
        <v>111</v>
      </c>
      <c r="I17" s="20" t="s">
        <v>112</v>
      </c>
      <c r="J17" s="21" t="s">
        <v>73</v>
      </c>
      <c r="K17" s="20" t="s">
        <v>74</v>
      </c>
      <c r="L17" s="20">
        <f t="shared" si="0"/>
        <v>31.94</v>
      </c>
      <c r="M17" s="22">
        <v>3537542</v>
      </c>
      <c r="N17" s="22"/>
      <c r="O17" s="22"/>
      <c r="P17" s="22"/>
      <c r="Q17" s="22">
        <v>3136043</v>
      </c>
      <c r="R17" s="22"/>
      <c r="S17" s="22"/>
      <c r="T17" s="22"/>
      <c r="U17" s="22"/>
      <c r="V17" s="22"/>
      <c r="W17" s="22">
        <v>8455623</v>
      </c>
      <c r="X17" s="22"/>
      <c r="Y17" s="22"/>
      <c r="Z17" s="22"/>
      <c r="AA17" s="22"/>
      <c r="AB17" s="22"/>
      <c r="AC17" s="22"/>
      <c r="AE17" s="22"/>
      <c r="AF17" s="23">
        <f t="shared" si="1"/>
        <v>15129208</v>
      </c>
      <c r="AI17" s="22">
        <v>424598</v>
      </c>
      <c r="AJ17" s="22"/>
      <c r="AK17" s="22">
        <v>18500</v>
      </c>
      <c r="AL17" s="22">
        <v>267000</v>
      </c>
      <c r="AM17" s="22"/>
      <c r="AN17" s="22"/>
      <c r="AO17" s="23">
        <f t="shared" si="2"/>
        <v>710098</v>
      </c>
      <c r="AR17" s="22">
        <v>294796</v>
      </c>
      <c r="AS17" s="22">
        <v>294796</v>
      </c>
      <c r="AT17" s="22">
        <v>7370</v>
      </c>
      <c r="AU17" s="23">
        <f t="shared" si="3"/>
        <v>596962</v>
      </c>
      <c r="AV17" s="25">
        <f t="shared" si="4"/>
        <v>1307060</v>
      </c>
      <c r="AX17" s="22"/>
      <c r="AY17" s="22"/>
      <c r="AZ17" s="22"/>
      <c r="BD17" s="26">
        <f t="shared" si="5"/>
        <v>0</v>
      </c>
      <c r="BG17" s="22">
        <f t="shared" si="6"/>
        <v>16502013.072000001</v>
      </c>
      <c r="BH17" s="22">
        <f t="shared" si="7"/>
        <v>320000</v>
      </c>
      <c r="BI17" s="22">
        <f t="shared" si="8"/>
        <v>65745.072</v>
      </c>
      <c r="BJ17" s="22">
        <f t="shared" si="9"/>
        <v>60800</v>
      </c>
      <c r="BK17" s="22">
        <f t="shared" si="10"/>
        <v>16882813.072000001</v>
      </c>
      <c r="BL17" s="27">
        <v>4000</v>
      </c>
      <c r="BM17" s="28">
        <f t="shared" si="11"/>
        <v>4125.5</v>
      </c>
      <c r="BN17" s="28">
        <v>80</v>
      </c>
      <c r="BO17" s="28">
        <f t="shared" si="12"/>
        <v>15.2</v>
      </c>
      <c r="BP17" s="28">
        <f t="shared" si="13"/>
        <v>4220.7</v>
      </c>
    </row>
    <row r="18" spans="1:68" x14ac:dyDescent="0.3">
      <c r="A18" s="18" t="s">
        <v>131</v>
      </c>
      <c r="B18" s="18" t="s">
        <v>132</v>
      </c>
      <c r="C18" s="18" t="s">
        <v>133</v>
      </c>
      <c r="D18" s="19">
        <v>45748.208518518513</v>
      </c>
      <c r="E18" s="19"/>
      <c r="F18" s="18" t="s">
        <v>69</v>
      </c>
      <c r="G18" s="18" t="s">
        <v>70</v>
      </c>
      <c r="H18" s="20" t="s">
        <v>134</v>
      </c>
      <c r="I18" s="20" t="s">
        <v>135</v>
      </c>
      <c r="J18" s="21" t="s">
        <v>73</v>
      </c>
      <c r="K18" s="20" t="s">
        <v>74</v>
      </c>
      <c r="L18" s="20">
        <f t="shared" si="0"/>
        <v>31.94</v>
      </c>
      <c r="M18" s="22">
        <v>7883250</v>
      </c>
      <c r="N18" s="22"/>
      <c r="O18" s="22"/>
      <c r="P18" s="22"/>
      <c r="Q18" s="22"/>
      <c r="R18" s="22"/>
      <c r="S18" s="22"/>
      <c r="T18" s="22"/>
      <c r="U18" s="22"/>
      <c r="V18" s="22"/>
      <c r="W18" s="22">
        <v>7883250</v>
      </c>
      <c r="X18" s="22"/>
      <c r="Y18" s="22"/>
      <c r="Z18" s="22"/>
      <c r="AA18" s="22"/>
      <c r="AB18" s="22"/>
      <c r="AC18" s="22"/>
      <c r="AE18" s="22"/>
      <c r="AF18" s="23">
        <f t="shared" si="1"/>
        <v>15766500</v>
      </c>
      <c r="AI18" s="22">
        <v>946070</v>
      </c>
      <c r="AJ18" s="22"/>
      <c r="AK18" s="22">
        <v>192100</v>
      </c>
      <c r="AL18" s="22">
        <v>315400</v>
      </c>
      <c r="AM18" s="22"/>
      <c r="AN18" s="22"/>
      <c r="AO18" s="23">
        <f t="shared" si="2"/>
        <v>1453570</v>
      </c>
      <c r="AR18" s="22">
        <v>656937</v>
      </c>
      <c r="AS18" s="22">
        <v>656937</v>
      </c>
      <c r="AT18" s="22">
        <v>19709</v>
      </c>
      <c r="AU18" s="23">
        <f t="shared" si="3"/>
        <v>1333583</v>
      </c>
      <c r="AV18" s="25">
        <f t="shared" si="4"/>
        <v>2787153</v>
      </c>
      <c r="AX18" s="22"/>
      <c r="AY18" s="22">
        <v>432545</v>
      </c>
      <c r="AZ18" s="22"/>
      <c r="BD18" s="26">
        <f t="shared" si="5"/>
        <v>432545</v>
      </c>
      <c r="BG18" s="22">
        <f t="shared" si="6"/>
        <v>19062142.791999999</v>
      </c>
      <c r="BH18" s="22">
        <f t="shared" si="7"/>
        <v>320000</v>
      </c>
      <c r="BI18" s="22">
        <f t="shared" si="8"/>
        <v>75944.792000000001</v>
      </c>
      <c r="BJ18" s="22">
        <f t="shared" si="9"/>
        <v>60800</v>
      </c>
      <c r="BK18" s="22">
        <f t="shared" si="10"/>
        <v>19442942.791999999</v>
      </c>
      <c r="BL18" s="27">
        <v>4000</v>
      </c>
      <c r="BM18" s="28">
        <f t="shared" si="11"/>
        <v>4765.54</v>
      </c>
      <c r="BN18" s="28">
        <v>80</v>
      </c>
      <c r="BO18" s="28">
        <f t="shared" si="12"/>
        <v>15.2</v>
      </c>
      <c r="BP18" s="28">
        <f t="shared" si="13"/>
        <v>4860.74</v>
      </c>
    </row>
    <row r="19" spans="1:68" x14ac:dyDescent="0.3">
      <c r="A19" s="18" t="s">
        <v>136</v>
      </c>
      <c r="B19" s="18" t="s">
        <v>137</v>
      </c>
      <c r="C19" s="18" t="s">
        <v>138</v>
      </c>
      <c r="D19" s="19">
        <v>45748.208518518513</v>
      </c>
      <c r="E19" s="19"/>
      <c r="F19" s="18" t="s">
        <v>69</v>
      </c>
      <c r="G19" s="18" t="s">
        <v>70</v>
      </c>
      <c r="H19" s="20" t="s">
        <v>134</v>
      </c>
      <c r="I19" s="20" t="s">
        <v>135</v>
      </c>
      <c r="J19" s="21" t="s">
        <v>73</v>
      </c>
      <c r="K19" s="20" t="s">
        <v>74</v>
      </c>
      <c r="L19" s="20">
        <f t="shared" si="0"/>
        <v>31.94</v>
      </c>
      <c r="M19" s="22">
        <v>7883250</v>
      </c>
      <c r="N19" s="22"/>
      <c r="O19" s="22"/>
      <c r="P19" s="22"/>
      <c r="Q19" s="22"/>
      <c r="R19" s="22"/>
      <c r="S19" s="22"/>
      <c r="T19" s="22"/>
      <c r="U19" s="22"/>
      <c r="V19" s="22"/>
      <c r="W19" s="22">
        <v>7883250</v>
      </c>
      <c r="X19" s="22"/>
      <c r="Y19" s="22"/>
      <c r="Z19" s="22"/>
      <c r="AA19" s="22"/>
      <c r="AB19" s="22"/>
      <c r="AC19" s="22"/>
      <c r="AE19" s="22"/>
      <c r="AF19" s="23">
        <f t="shared" si="1"/>
        <v>15766500</v>
      </c>
      <c r="AI19" s="22">
        <v>946070</v>
      </c>
      <c r="AJ19" s="22"/>
      <c r="AK19" s="22">
        <v>115300</v>
      </c>
      <c r="AL19" s="22">
        <v>315400</v>
      </c>
      <c r="AM19" s="22"/>
      <c r="AN19" s="22"/>
      <c r="AO19" s="23">
        <f t="shared" si="2"/>
        <v>1376770</v>
      </c>
      <c r="AR19" s="22">
        <v>656937</v>
      </c>
      <c r="AS19" s="22">
        <v>656937</v>
      </c>
      <c r="AT19" s="22">
        <v>19709</v>
      </c>
      <c r="AU19" s="23">
        <f t="shared" si="3"/>
        <v>1333583</v>
      </c>
      <c r="AV19" s="25">
        <f t="shared" si="4"/>
        <v>2710353</v>
      </c>
      <c r="AX19" s="22"/>
      <c r="AY19" s="22">
        <v>432545</v>
      </c>
      <c r="AZ19" s="22"/>
      <c r="BD19" s="26">
        <f t="shared" si="5"/>
        <v>432545</v>
      </c>
      <c r="BG19" s="22">
        <f t="shared" si="6"/>
        <v>18985035.592</v>
      </c>
      <c r="BH19" s="22">
        <f t="shared" si="7"/>
        <v>320000</v>
      </c>
      <c r="BI19" s="22">
        <f t="shared" si="8"/>
        <v>75637.592000000004</v>
      </c>
      <c r="BJ19" s="22">
        <f t="shared" si="9"/>
        <v>60800</v>
      </c>
      <c r="BK19" s="22">
        <f t="shared" si="10"/>
        <v>19365835.592</v>
      </c>
      <c r="BL19" s="27">
        <v>4000</v>
      </c>
      <c r="BM19" s="28">
        <f t="shared" si="11"/>
        <v>4746.26</v>
      </c>
      <c r="BN19" s="28">
        <v>80</v>
      </c>
      <c r="BO19" s="28">
        <f t="shared" si="12"/>
        <v>15.2</v>
      </c>
      <c r="BP19" s="28">
        <f t="shared" si="13"/>
        <v>4841.46</v>
      </c>
    </row>
    <row r="20" spans="1:68" x14ac:dyDescent="0.3">
      <c r="A20" s="18" t="s">
        <v>139</v>
      </c>
      <c r="B20" s="18" t="s">
        <v>140</v>
      </c>
      <c r="C20" s="18" t="s">
        <v>141</v>
      </c>
      <c r="D20" s="19">
        <v>45855.208518518513</v>
      </c>
      <c r="E20" s="19"/>
      <c r="F20" s="18" t="s">
        <v>69</v>
      </c>
      <c r="G20" s="18" t="s">
        <v>70</v>
      </c>
      <c r="H20" s="20" t="s">
        <v>93</v>
      </c>
      <c r="I20" s="20" t="s">
        <v>94</v>
      </c>
      <c r="J20" s="21" t="s">
        <v>73</v>
      </c>
      <c r="K20" s="20" t="s">
        <v>74</v>
      </c>
      <c r="L20" s="20">
        <f t="shared" si="0"/>
        <v>31.94</v>
      </c>
      <c r="M20" s="22">
        <v>3006857</v>
      </c>
      <c r="N20" s="22"/>
      <c r="O20" s="22"/>
      <c r="P20" s="22"/>
      <c r="Q20" s="22"/>
      <c r="R20" s="22">
        <v>196364</v>
      </c>
      <c r="S20" s="22">
        <v>87750</v>
      </c>
      <c r="T20" s="22"/>
      <c r="U20" s="22"/>
      <c r="V20" s="22"/>
      <c r="W20" s="22">
        <v>3531763</v>
      </c>
      <c r="X20" s="22"/>
      <c r="Y20" s="22"/>
      <c r="Z20" s="22">
        <v>240792</v>
      </c>
      <c r="AA20" s="22"/>
      <c r="AB20" s="22"/>
      <c r="AC20" s="22"/>
      <c r="AE20" s="22"/>
      <c r="AF20" s="23">
        <f t="shared" si="1"/>
        <v>7063526</v>
      </c>
      <c r="AI20" s="22">
        <v>395126</v>
      </c>
      <c r="AJ20" s="22"/>
      <c r="AK20" s="22">
        <v>16700</v>
      </c>
      <c r="AL20" s="22">
        <v>131700</v>
      </c>
      <c r="AM20" s="22"/>
      <c r="AN20" s="22"/>
      <c r="AO20" s="23">
        <f t="shared" si="2"/>
        <v>543526</v>
      </c>
      <c r="AR20" s="22">
        <v>294434</v>
      </c>
      <c r="AS20" s="22">
        <v>294434</v>
      </c>
      <c r="AT20" s="22">
        <v>8790</v>
      </c>
      <c r="AU20" s="23">
        <f t="shared" si="3"/>
        <v>597658</v>
      </c>
      <c r="AV20" s="25">
        <f t="shared" si="4"/>
        <v>1141184</v>
      </c>
      <c r="AX20" s="22"/>
      <c r="AY20" s="22"/>
      <c r="AZ20" s="22"/>
      <c r="BD20" s="26">
        <f t="shared" si="5"/>
        <v>0</v>
      </c>
      <c r="BG20" s="22">
        <f t="shared" si="6"/>
        <v>8237528.8399999999</v>
      </c>
      <c r="BH20" s="22">
        <f t="shared" si="7"/>
        <v>320000</v>
      </c>
      <c r="BI20" s="22">
        <f t="shared" si="8"/>
        <v>32818.840000000004</v>
      </c>
      <c r="BJ20" s="22">
        <f t="shared" si="9"/>
        <v>60800</v>
      </c>
      <c r="BK20" s="22">
        <f t="shared" si="10"/>
        <v>8618328.8399999999</v>
      </c>
      <c r="BL20" s="27">
        <v>4000</v>
      </c>
      <c r="BM20" s="28">
        <f t="shared" si="11"/>
        <v>2059.38</v>
      </c>
      <c r="BN20" s="28">
        <v>80</v>
      </c>
      <c r="BO20" s="28">
        <f t="shared" si="12"/>
        <v>15.2</v>
      </c>
      <c r="BP20" s="28">
        <f t="shared" si="13"/>
        <v>2154.58</v>
      </c>
    </row>
    <row r="21" spans="1:68" x14ac:dyDescent="0.3">
      <c r="A21" s="18" t="s">
        <v>142</v>
      </c>
      <c r="B21" s="18" t="s">
        <v>143</v>
      </c>
      <c r="C21" s="18" t="s">
        <v>144</v>
      </c>
      <c r="D21" s="19">
        <v>45616.208518518513</v>
      </c>
      <c r="E21" s="19"/>
      <c r="F21" s="18" t="s">
        <v>69</v>
      </c>
      <c r="G21" s="18" t="s">
        <v>70</v>
      </c>
      <c r="H21" s="20" t="s">
        <v>145</v>
      </c>
      <c r="I21" s="20" t="s">
        <v>146</v>
      </c>
      <c r="J21" s="21" t="s">
        <v>73</v>
      </c>
      <c r="K21" s="20" t="s">
        <v>74</v>
      </c>
      <c r="L21" s="20">
        <f t="shared" si="0"/>
        <v>31.94</v>
      </c>
      <c r="M21" s="22">
        <v>6538866</v>
      </c>
      <c r="N21" s="22"/>
      <c r="O21" s="22"/>
      <c r="P21" s="22"/>
      <c r="Q21" s="22"/>
      <c r="R21" s="22"/>
      <c r="S21" s="22"/>
      <c r="T21" s="22"/>
      <c r="U21" s="22"/>
      <c r="V21" s="22"/>
      <c r="W21" s="22">
        <v>6538866</v>
      </c>
      <c r="X21" s="22"/>
      <c r="Y21" s="22"/>
      <c r="Z21" s="22"/>
      <c r="AA21" s="22"/>
      <c r="AB21" s="22"/>
      <c r="AC21" s="22"/>
      <c r="AE21" s="22"/>
      <c r="AF21" s="23">
        <f t="shared" si="1"/>
        <v>13077732</v>
      </c>
      <c r="AI21" s="22">
        <v>784745</v>
      </c>
      <c r="AJ21" s="22"/>
      <c r="AK21" s="22">
        <v>159300</v>
      </c>
      <c r="AL21" s="22">
        <v>261600</v>
      </c>
      <c r="AM21" s="22"/>
      <c r="AN21" s="22"/>
      <c r="AO21" s="23">
        <f t="shared" si="2"/>
        <v>1205645</v>
      </c>
      <c r="AR21" s="22">
        <v>544905</v>
      </c>
      <c r="AS21" s="22">
        <v>544905</v>
      </c>
      <c r="AT21" s="22">
        <v>16347</v>
      </c>
      <c r="AU21" s="23">
        <f t="shared" si="3"/>
        <v>1106157</v>
      </c>
      <c r="AV21" s="25">
        <f t="shared" si="4"/>
        <v>2311802</v>
      </c>
      <c r="AX21" s="22"/>
      <c r="AY21" s="22"/>
      <c r="AZ21" s="22"/>
      <c r="BD21" s="26">
        <f t="shared" si="5"/>
        <v>0</v>
      </c>
      <c r="BG21" s="22">
        <f t="shared" si="6"/>
        <v>15451092.136</v>
      </c>
      <c r="BH21" s="22">
        <f t="shared" si="7"/>
        <v>320000</v>
      </c>
      <c r="BI21" s="22">
        <f t="shared" si="8"/>
        <v>61558.135999999999</v>
      </c>
      <c r="BJ21" s="22">
        <f t="shared" si="9"/>
        <v>60800</v>
      </c>
      <c r="BK21" s="22">
        <f t="shared" si="10"/>
        <v>15831892.136</v>
      </c>
      <c r="BL21" s="27">
        <v>4000</v>
      </c>
      <c r="BM21" s="28">
        <f t="shared" si="11"/>
        <v>3862.77</v>
      </c>
      <c r="BN21" s="28">
        <v>80</v>
      </c>
      <c r="BO21" s="28">
        <f t="shared" si="12"/>
        <v>15.2</v>
      </c>
      <c r="BP21" s="28">
        <f t="shared" si="13"/>
        <v>3957.97</v>
      </c>
    </row>
    <row r="22" spans="1:68" x14ac:dyDescent="0.3">
      <c r="A22" s="18" t="s">
        <v>147</v>
      </c>
      <c r="B22" s="18" t="s">
        <v>148</v>
      </c>
      <c r="C22" s="18" t="s">
        <v>149</v>
      </c>
      <c r="D22" s="19">
        <v>45728.208518518513</v>
      </c>
      <c r="E22" s="19"/>
      <c r="F22" s="18" t="s">
        <v>69</v>
      </c>
      <c r="G22" s="18" t="s">
        <v>70</v>
      </c>
      <c r="H22" s="20" t="s">
        <v>111</v>
      </c>
      <c r="I22" s="20" t="s">
        <v>112</v>
      </c>
      <c r="J22" s="21" t="s">
        <v>73</v>
      </c>
      <c r="K22" s="20" t="s">
        <v>74</v>
      </c>
      <c r="L22" s="20">
        <f t="shared" si="0"/>
        <v>31.94</v>
      </c>
      <c r="M22" s="22">
        <v>6165500</v>
      </c>
      <c r="N22" s="22"/>
      <c r="O22" s="22"/>
      <c r="P22" s="22"/>
      <c r="Q22" s="22"/>
      <c r="R22" s="22"/>
      <c r="S22" s="22"/>
      <c r="T22" s="22"/>
      <c r="U22" s="22"/>
      <c r="V22" s="22"/>
      <c r="W22" s="22">
        <v>6165500</v>
      </c>
      <c r="X22" s="22"/>
      <c r="Y22" s="22"/>
      <c r="Z22" s="22"/>
      <c r="AA22" s="22"/>
      <c r="AB22" s="22"/>
      <c r="AC22" s="22"/>
      <c r="AE22" s="22"/>
      <c r="AF22" s="23">
        <f t="shared" si="1"/>
        <v>12331000</v>
      </c>
      <c r="AI22" s="22">
        <v>739880</v>
      </c>
      <c r="AJ22" s="22"/>
      <c r="AK22" s="22">
        <v>32200</v>
      </c>
      <c r="AL22" s="22">
        <v>246700</v>
      </c>
      <c r="AM22" s="22"/>
      <c r="AN22" s="22"/>
      <c r="AO22" s="23">
        <f t="shared" si="2"/>
        <v>1018780</v>
      </c>
      <c r="AR22" s="22">
        <v>513791</v>
      </c>
      <c r="AS22" s="22">
        <v>513791</v>
      </c>
      <c r="AT22" s="22">
        <v>15414</v>
      </c>
      <c r="AU22" s="23">
        <f t="shared" si="3"/>
        <v>1042996</v>
      </c>
      <c r="AV22" s="25">
        <f t="shared" si="4"/>
        <v>2061776</v>
      </c>
      <c r="AX22" s="22"/>
      <c r="AY22" s="22"/>
      <c r="AZ22" s="22"/>
      <c r="BD22" s="26">
        <f t="shared" si="5"/>
        <v>0</v>
      </c>
      <c r="BG22" s="22">
        <f t="shared" si="6"/>
        <v>14450347.104</v>
      </c>
      <c r="BH22" s="22">
        <f t="shared" si="7"/>
        <v>320000</v>
      </c>
      <c r="BI22" s="22">
        <f t="shared" si="8"/>
        <v>57571.103999999999</v>
      </c>
      <c r="BJ22" s="22">
        <f t="shared" si="9"/>
        <v>60800</v>
      </c>
      <c r="BK22" s="22">
        <f t="shared" si="10"/>
        <v>14831147.104</v>
      </c>
      <c r="BL22" s="27">
        <v>4000</v>
      </c>
      <c r="BM22" s="28">
        <f t="shared" si="11"/>
        <v>3612.59</v>
      </c>
      <c r="BN22" s="28">
        <v>80</v>
      </c>
      <c r="BO22" s="28">
        <f t="shared" si="12"/>
        <v>15.2</v>
      </c>
      <c r="BP22" s="28">
        <f t="shared" si="13"/>
        <v>3707.79</v>
      </c>
    </row>
    <row r="23" spans="1:68" x14ac:dyDescent="0.3">
      <c r="A23" s="18" t="s">
        <v>150</v>
      </c>
      <c r="B23" s="18" t="s">
        <v>151</v>
      </c>
      <c r="C23" s="18" t="s">
        <v>152</v>
      </c>
      <c r="D23" s="19">
        <v>45355.208518518513</v>
      </c>
      <c r="E23" s="19"/>
      <c r="F23" s="18" t="s">
        <v>69</v>
      </c>
      <c r="G23" s="18" t="s">
        <v>70</v>
      </c>
      <c r="H23" s="20" t="s">
        <v>153</v>
      </c>
      <c r="I23" s="20" t="s">
        <v>154</v>
      </c>
      <c r="J23" s="21" t="s">
        <v>73</v>
      </c>
      <c r="K23" s="20" t="s">
        <v>74</v>
      </c>
      <c r="L23" s="20">
        <f t="shared" si="0"/>
        <v>31.94</v>
      </c>
      <c r="M23" s="22">
        <v>13222694</v>
      </c>
      <c r="N23" s="22"/>
      <c r="O23" s="22"/>
      <c r="P23" s="22"/>
      <c r="Q23" s="22"/>
      <c r="R23" s="22"/>
      <c r="S23" s="22"/>
      <c r="T23" s="22"/>
      <c r="U23" s="22"/>
      <c r="V23" s="22"/>
      <c r="W23" s="22">
        <v>13222694</v>
      </c>
      <c r="X23" s="22"/>
      <c r="Y23" s="22"/>
      <c r="Z23" s="22"/>
      <c r="AA23" s="22"/>
      <c r="AB23" s="22"/>
      <c r="AC23" s="22"/>
      <c r="AE23" s="22"/>
      <c r="AF23" s="23">
        <f t="shared" si="1"/>
        <v>26445388</v>
      </c>
      <c r="AI23" s="22">
        <v>1586792</v>
      </c>
      <c r="AJ23" s="22"/>
      <c r="AK23" s="22">
        <v>322200</v>
      </c>
      <c r="AL23" s="22">
        <v>529000</v>
      </c>
      <c r="AM23" s="22"/>
      <c r="AN23" s="22"/>
      <c r="AO23" s="23">
        <f t="shared" si="2"/>
        <v>2437992</v>
      </c>
      <c r="AR23" s="22">
        <v>1101891</v>
      </c>
      <c r="AS23" s="22">
        <v>1101891</v>
      </c>
      <c r="AT23" s="22">
        <v>32633</v>
      </c>
      <c r="AU23" s="23">
        <f t="shared" si="3"/>
        <v>2236415</v>
      </c>
      <c r="AV23" s="25">
        <f t="shared" si="4"/>
        <v>4674407</v>
      </c>
      <c r="AX23" s="22"/>
      <c r="AY23" s="22">
        <v>420575</v>
      </c>
      <c r="AZ23" s="22"/>
      <c r="BD23" s="26">
        <f t="shared" si="5"/>
        <v>420575</v>
      </c>
      <c r="BG23" s="22">
        <f t="shared" si="6"/>
        <v>31666531.48</v>
      </c>
      <c r="BH23" s="22">
        <f t="shared" si="7"/>
        <v>320000</v>
      </c>
      <c r="BI23" s="22">
        <f t="shared" si="8"/>
        <v>126161.48</v>
      </c>
      <c r="BJ23" s="22">
        <f t="shared" si="9"/>
        <v>60800</v>
      </c>
      <c r="BK23" s="22">
        <f t="shared" si="10"/>
        <v>32047331.48</v>
      </c>
      <c r="BL23" s="27">
        <v>4000</v>
      </c>
      <c r="BM23" s="28">
        <f t="shared" si="11"/>
        <v>7916.63</v>
      </c>
      <c r="BN23" s="28">
        <v>80</v>
      </c>
      <c r="BO23" s="28">
        <f t="shared" si="12"/>
        <v>15.2</v>
      </c>
      <c r="BP23" s="28">
        <f t="shared" si="13"/>
        <v>8011.83</v>
      </c>
    </row>
    <row r="24" spans="1:68" x14ac:dyDescent="0.3">
      <c r="A24" s="18" t="s">
        <v>155</v>
      </c>
      <c r="B24" s="18" t="s">
        <v>156</v>
      </c>
      <c r="C24" s="18" t="s">
        <v>157</v>
      </c>
      <c r="D24" s="19">
        <v>45630.208518518513</v>
      </c>
      <c r="E24" s="19"/>
      <c r="F24" s="18" t="s">
        <v>69</v>
      </c>
      <c r="G24" s="18" t="s">
        <v>70</v>
      </c>
      <c r="H24" s="20" t="s">
        <v>158</v>
      </c>
      <c r="I24" s="20" t="s">
        <v>159</v>
      </c>
      <c r="J24" s="21" t="s">
        <v>73</v>
      </c>
      <c r="K24" s="20" t="s">
        <v>74</v>
      </c>
      <c r="L24" s="20">
        <f t="shared" si="0"/>
        <v>31.94</v>
      </c>
      <c r="M24" s="22">
        <v>22761765</v>
      </c>
      <c r="N24" s="22"/>
      <c r="O24" s="22"/>
      <c r="P24" s="22"/>
      <c r="Q24" s="22"/>
      <c r="R24" s="22"/>
      <c r="S24" s="22"/>
      <c r="T24" s="22"/>
      <c r="U24" s="22"/>
      <c r="V24" s="22"/>
      <c r="W24" s="22">
        <v>22761765</v>
      </c>
      <c r="X24" s="22"/>
      <c r="Y24" s="22"/>
      <c r="Z24" s="22"/>
      <c r="AA24" s="22"/>
      <c r="AB24" s="22"/>
      <c r="AC24" s="22"/>
      <c r="AE24" s="22"/>
      <c r="AF24" s="23">
        <f t="shared" si="1"/>
        <v>45523530</v>
      </c>
      <c r="AI24" s="22">
        <v>1912071</v>
      </c>
      <c r="AJ24" s="22">
        <v>1354371</v>
      </c>
      <c r="AK24" s="22">
        <v>388200</v>
      </c>
      <c r="AL24" s="22">
        <v>637400</v>
      </c>
      <c r="AM24" s="22">
        <v>318700</v>
      </c>
      <c r="AN24" s="22">
        <v>478000</v>
      </c>
      <c r="AO24" s="23">
        <f t="shared" si="2"/>
        <v>5088742</v>
      </c>
      <c r="AR24" s="22"/>
      <c r="AS24" s="22"/>
      <c r="AT24" s="22"/>
      <c r="AU24" s="23">
        <f t="shared" si="3"/>
        <v>0</v>
      </c>
      <c r="AV24" s="25">
        <f t="shared" si="4"/>
        <v>5088742</v>
      </c>
      <c r="AX24" s="22"/>
      <c r="AY24" s="22"/>
      <c r="AZ24" s="22"/>
      <c r="BD24" s="26">
        <f t="shared" si="5"/>
        <v>0</v>
      </c>
      <c r="BG24" s="22">
        <f t="shared" si="6"/>
        <v>50814721.088</v>
      </c>
      <c r="BH24" s="22">
        <f t="shared" si="7"/>
        <v>320000</v>
      </c>
      <c r="BI24" s="22">
        <f t="shared" si="8"/>
        <v>202449.08800000002</v>
      </c>
      <c r="BJ24" s="22">
        <f t="shared" si="9"/>
        <v>60800</v>
      </c>
      <c r="BK24" s="22">
        <f t="shared" si="10"/>
        <v>51195521.088</v>
      </c>
      <c r="BL24" s="27">
        <v>4000</v>
      </c>
      <c r="BM24" s="28">
        <f t="shared" si="11"/>
        <v>12703.68</v>
      </c>
      <c r="BN24" s="28">
        <v>80</v>
      </c>
      <c r="BO24" s="28">
        <f t="shared" si="12"/>
        <v>15.2</v>
      </c>
      <c r="BP24" s="28">
        <f t="shared" si="13"/>
        <v>12798.880000000001</v>
      </c>
    </row>
    <row r="25" spans="1:68" x14ac:dyDescent="0.3">
      <c r="A25" s="18" t="s">
        <v>160</v>
      </c>
      <c r="B25" s="18" t="s">
        <v>161</v>
      </c>
      <c r="C25" s="18" t="s">
        <v>162</v>
      </c>
      <c r="D25" s="19">
        <v>45790.208518518513</v>
      </c>
      <c r="E25" s="19"/>
      <c r="F25" s="18" t="s">
        <v>69</v>
      </c>
      <c r="G25" s="18" t="s">
        <v>70</v>
      </c>
      <c r="H25" s="20" t="s">
        <v>163</v>
      </c>
      <c r="I25" s="20" t="s">
        <v>164</v>
      </c>
      <c r="J25" s="21" t="s">
        <v>73</v>
      </c>
      <c r="K25" s="20" t="s">
        <v>74</v>
      </c>
      <c r="L25" s="20">
        <f t="shared" si="0"/>
        <v>31.94</v>
      </c>
      <c r="M25" s="22">
        <v>28750000</v>
      </c>
      <c r="N25" s="22"/>
      <c r="O25" s="22"/>
      <c r="P25" s="22"/>
      <c r="Q25" s="22"/>
      <c r="R25" s="22"/>
      <c r="S25" s="22"/>
      <c r="T25" s="22"/>
      <c r="U25" s="22">
        <v>200000</v>
      </c>
      <c r="V25" s="22"/>
      <c r="W25" s="22">
        <v>28950000</v>
      </c>
      <c r="X25" s="22"/>
      <c r="Y25" s="22"/>
      <c r="Z25" s="22"/>
      <c r="AA25" s="22"/>
      <c r="AB25" s="22"/>
      <c r="AC25" s="22"/>
      <c r="AE25" s="22"/>
      <c r="AF25" s="23">
        <f t="shared" si="1"/>
        <v>57900000</v>
      </c>
      <c r="AI25" s="22">
        <v>2415000</v>
      </c>
      <c r="AJ25" s="22">
        <v>1710700</v>
      </c>
      <c r="AK25" s="22">
        <v>490300</v>
      </c>
      <c r="AL25" s="22">
        <v>805000</v>
      </c>
      <c r="AM25" s="22">
        <v>402500</v>
      </c>
      <c r="AN25" s="22">
        <v>603800</v>
      </c>
      <c r="AO25" s="23">
        <f t="shared" si="2"/>
        <v>6427300</v>
      </c>
      <c r="AR25" s="22"/>
      <c r="AS25" s="22"/>
      <c r="AT25" s="22"/>
      <c r="AU25" s="23">
        <f t="shared" si="3"/>
        <v>0</v>
      </c>
      <c r="AV25" s="25">
        <f t="shared" si="4"/>
        <v>6427300</v>
      </c>
      <c r="AX25" s="22"/>
      <c r="AY25" s="22"/>
      <c r="AZ25" s="22"/>
      <c r="BD25" s="26">
        <f t="shared" si="5"/>
        <v>0</v>
      </c>
      <c r="BG25" s="22">
        <f t="shared" si="6"/>
        <v>64584609.200000003</v>
      </c>
      <c r="BH25" s="22">
        <f t="shared" si="7"/>
        <v>320000</v>
      </c>
      <c r="BI25" s="22">
        <f t="shared" si="8"/>
        <v>257309.2</v>
      </c>
      <c r="BJ25" s="22">
        <f t="shared" si="9"/>
        <v>60800</v>
      </c>
      <c r="BK25" s="22">
        <f t="shared" si="10"/>
        <v>64965409.200000003</v>
      </c>
      <c r="BL25" s="27">
        <v>4000</v>
      </c>
      <c r="BM25" s="28">
        <f t="shared" si="11"/>
        <v>16146.15</v>
      </c>
      <c r="BN25" s="28">
        <v>80</v>
      </c>
      <c r="BO25" s="28">
        <f t="shared" si="12"/>
        <v>15.2</v>
      </c>
      <c r="BP25" s="28">
        <f t="shared" si="13"/>
        <v>16241.35</v>
      </c>
    </row>
    <row r="26" spans="1:68" x14ac:dyDescent="0.3">
      <c r="A26" s="18" t="s">
        <v>165</v>
      </c>
      <c r="B26" s="18" t="s">
        <v>166</v>
      </c>
      <c r="C26" s="18" t="s">
        <v>167</v>
      </c>
      <c r="D26" s="19">
        <v>45999.208518518513</v>
      </c>
      <c r="E26" s="19"/>
      <c r="F26" s="18" t="s">
        <v>69</v>
      </c>
      <c r="G26" s="18" t="s">
        <v>70</v>
      </c>
      <c r="H26" s="20" t="s">
        <v>134</v>
      </c>
      <c r="I26" s="20" t="s">
        <v>135</v>
      </c>
      <c r="J26" s="21" t="s">
        <v>73</v>
      </c>
      <c r="K26" s="20" t="s">
        <v>74</v>
      </c>
      <c r="L26" s="20">
        <f t="shared" si="0"/>
        <v>31.94</v>
      </c>
      <c r="M26" s="22">
        <v>11795278</v>
      </c>
      <c r="N26" s="22"/>
      <c r="O26" s="22"/>
      <c r="P26" s="22"/>
      <c r="Q26" s="22"/>
      <c r="R26" s="22"/>
      <c r="S26" s="22"/>
      <c r="T26" s="22"/>
      <c r="U26" s="22"/>
      <c r="V26" s="22">
        <v>431915</v>
      </c>
      <c r="W26" s="22">
        <v>12227193</v>
      </c>
      <c r="X26" s="22"/>
      <c r="Y26" s="22"/>
      <c r="Z26" s="22"/>
      <c r="AA26" s="22"/>
      <c r="AB26" s="22"/>
      <c r="AC26" s="22"/>
      <c r="AE26" s="22"/>
      <c r="AF26" s="23">
        <f t="shared" si="1"/>
        <v>24454386</v>
      </c>
      <c r="AI26" s="22">
        <v>1415489</v>
      </c>
      <c r="AJ26" s="22"/>
      <c r="AK26" s="22">
        <v>287400</v>
      </c>
      <c r="AL26" s="22">
        <v>471900</v>
      </c>
      <c r="AM26" s="22"/>
      <c r="AN26" s="22"/>
      <c r="AO26" s="23">
        <f t="shared" si="2"/>
        <v>2174789</v>
      </c>
      <c r="AR26" s="22">
        <v>982939</v>
      </c>
      <c r="AS26" s="22">
        <v>982939</v>
      </c>
      <c r="AT26" s="22">
        <v>31782</v>
      </c>
      <c r="AU26" s="23">
        <f t="shared" si="3"/>
        <v>1997660</v>
      </c>
      <c r="AV26" s="25">
        <f t="shared" si="4"/>
        <v>4172449</v>
      </c>
      <c r="AX26" s="22"/>
      <c r="AY26" s="22">
        <v>420575</v>
      </c>
      <c r="AZ26" s="22"/>
      <c r="BD26" s="26">
        <f t="shared" si="5"/>
        <v>420575</v>
      </c>
      <c r="BG26" s="22">
        <f t="shared" si="6"/>
        <v>29163599.640000001</v>
      </c>
      <c r="BH26" s="22">
        <f t="shared" si="7"/>
        <v>320000</v>
      </c>
      <c r="BI26" s="22">
        <f t="shared" si="8"/>
        <v>116189.64</v>
      </c>
      <c r="BJ26" s="22">
        <f t="shared" si="9"/>
        <v>60800</v>
      </c>
      <c r="BK26" s="22">
        <f t="shared" si="10"/>
        <v>29544399.640000001</v>
      </c>
      <c r="BL26" s="27">
        <v>4000</v>
      </c>
      <c r="BM26" s="28">
        <f t="shared" si="11"/>
        <v>7290.9</v>
      </c>
      <c r="BN26" s="28">
        <v>80</v>
      </c>
      <c r="BO26" s="28">
        <f t="shared" si="12"/>
        <v>15.2</v>
      </c>
      <c r="BP26" s="28">
        <f t="shared" si="13"/>
        <v>7386.0999999999995</v>
      </c>
    </row>
    <row r="27" spans="1:68" x14ac:dyDescent="0.3">
      <c r="A27" s="18" t="s">
        <v>168</v>
      </c>
      <c r="B27" s="18" t="s">
        <v>169</v>
      </c>
      <c r="C27" s="18" t="s">
        <v>170</v>
      </c>
      <c r="D27" s="19">
        <v>45803.208518518513</v>
      </c>
      <c r="E27" s="19"/>
      <c r="F27" s="18" t="s">
        <v>69</v>
      </c>
      <c r="G27" s="18" t="s">
        <v>70</v>
      </c>
      <c r="H27" s="20" t="s">
        <v>134</v>
      </c>
      <c r="I27" s="20" t="s">
        <v>135</v>
      </c>
      <c r="J27" s="21" t="s">
        <v>73</v>
      </c>
      <c r="K27" s="20" t="s">
        <v>74</v>
      </c>
      <c r="L27" s="20">
        <f t="shared" si="0"/>
        <v>31.94</v>
      </c>
      <c r="M27" s="22">
        <v>4724191</v>
      </c>
      <c r="N27" s="22"/>
      <c r="O27" s="22"/>
      <c r="P27" s="22"/>
      <c r="Q27" s="22"/>
      <c r="R27" s="22"/>
      <c r="S27" s="22"/>
      <c r="T27" s="22"/>
      <c r="U27" s="22"/>
      <c r="V27" s="22">
        <v>431915</v>
      </c>
      <c r="W27" s="22">
        <v>5156106</v>
      </c>
      <c r="X27" s="22"/>
      <c r="Y27" s="22"/>
      <c r="Z27" s="22"/>
      <c r="AA27" s="22"/>
      <c r="AB27" s="22"/>
      <c r="AC27" s="22"/>
      <c r="AE27" s="22"/>
      <c r="AF27" s="23">
        <f t="shared" si="1"/>
        <v>10312212</v>
      </c>
      <c r="AI27" s="22">
        <v>566932</v>
      </c>
      <c r="AJ27" s="22"/>
      <c r="AK27" s="22">
        <v>115100</v>
      </c>
      <c r="AL27" s="22">
        <v>189000</v>
      </c>
      <c r="AM27" s="22"/>
      <c r="AN27" s="22"/>
      <c r="AO27" s="23">
        <f t="shared" si="2"/>
        <v>871032</v>
      </c>
      <c r="AR27" s="22">
        <v>393682</v>
      </c>
      <c r="AS27" s="22">
        <v>393682</v>
      </c>
      <c r="AT27" s="22">
        <v>11810</v>
      </c>
      <c r="AU27" s="23">
        <f t="shared" si="3"/>
        <v>799174</v>
      </c>
      <c r="AV27" s="25">
        <f t="shared" si="4"/>
        <v>1670206</v>
      </c>
      <c r="AX27" s="22"/>
      <c r="AY27" s="22">
        <v>432545</v>
      </c>
      <c r="AZ27" s="22"/>
      <c r="BD27" s="26">
        <f t="shared" si="5"/>
        <v>432545</v>
      </c>
      <c r="BG27" s="22">
        <f t="shared" si="6"/>
        <v>12464622.852</v>
      </c>
      <c r="BH27" s="22">
        <f t="shared" si="7"/>
        <v>320000</v>
      </c>
      <c r="BI27" s="22">
        <f t="shared" si="8"/>
        <v>49659.851999999999</v>
      </c>
      <c r="BJ27" s="22">
        <f t="shared" si="9"/>
        <v>60800</v>
      </c>
      <c r="BK27" s="22">
        <f t="shared" si="10"/>
        <v>12845422.852</v>
      </c>
      <c r="BL27" s="27">
        <v>4000</v>
      </c>
      <c r="BM27" s="28">
        <f t="shared" si="11"/>
        <v>3116.16</v>
      </c>
      <c r="BN27" s="28">
        <v>80</v>
      </c>
      <c r="BO27" s="28">
        <f t="shared" si="12"/>
        <v>15.2</v>
      </c>
      <c r="BP27" s="28">
        <f t="shared" si="13"/>
        <v>3211.3599999999997</v>
      </c>
    </row>
    <row r="28" spans="1:68" x14ac:dyDescent="0.3">
      <c r="A28" s="18" t="s">
        <v>171</v>
      </c>
      <c r="B28" s="18" t="s">
        <v>172</v>
      </c>
      <c r="C28" s="18" t="s">
        <v>173</v>
      </c>
      <c r="D28" s="19">
        <v>45194.208518518513</v>
      </c>
      <c r="E28" s="19"/>
      <c r="F28" s="18" t="s">
        <v>69</v>
      </c>
      <c r="G28" s="18" t="s">
        <v>70</v>
      </c>
      <c r="H28" s="20" t="s">
        <v>174</v>
      </c>
      <c r="I28" s="20" t="s">
        <v>175</v>
      </c>
      <c r="J28" s="21" t="s">
        <v>73</v>
      </c>
      <c r="K28" s="20" t="s">
        <v>74</v>
      </c>
      <c r="L28" s="20">
        <f t="shared" si="0"/>
        <v>31.94</v>
      </c>
      <c r="M28" s="22">
        <v>9979764</v>
      </c>
      <c r="N28" s="22"/>
      <c r="O28" s="22"/>
      <c r="P28" s="22"/>
      <c r="Q28" s="22"/>
      <c r="R28" s="22"/>
      <c r="S28" s="22"/>
      <c r="T28" s="22"/>
      <c r="U28" s="22"/>
      <c r="V28" s="22"/>
      <c r="W28" s="22">
        <v>9979764</v>
      </c>
      <c r="X28" s="22"/>
      <c r="Y28" s="22"/>
      <c r="Z28" s="22"/>
      <c r="AA28" s="22"/>
      <c r="AB28" s="22"/>
      <c r="AC28" s="22"/>
      <c r="AE28" s="22"/>
      <c r="AF28" s="23">
        <f t="shared" si="1"/>
        <v>19959528</v>
      </c>
      <c r="AI28" s="22">
        <v>1197609</v>
      </c>
      <c r="AJ28" s="22"/>
      <c r="AK28" s="22">
        <v>243200</v>
      </c>
      <c r="AL28" s="22">
        <v>399200</v>
      </c>
      <c r="AM28" s="22"/>
      <c r="AN28" s="22"/>
      <c r="AO28" s="23">
        <f t="shared" si="2"/>
        <v>1840009</v>
      </c>
      <c r="AR28" s="22">
        <v>831647</v>
      </c>
      <c r="AS28" s="22">
        <v>831647</v>
      </c>
      <c r="AT28" s="22">
        <v>24950</v>
      </c>
      <c r="AU28" s="23">
        <f t="shared" si="3"/>
        <v>1688244</v>
      </c>
      <c r="AV28" s="25">
        <f t="shared" si="4"/>
        <v>3528253</v>
      </c>
      <c r="AX28" s="22">
        <v>742724</v>
      </c>
      <c r="AY28" s="22"/>
      <c r="AZ28" s="22"/>
      <c r="BD28" s="26">
        <f t="shared" si="5"/>
        <v>742724</v>
      </c>
      <c r="BG28" s="22">
        <f t="shared" si="6"/>
        <v>24327427.02</v>
      </c>
      <c r="BH28" s="22">
        <f t="shared" si="7"/>
        <v>320000</v>
      </c>
      <c r="BI28" s="22">
        <f t="shared" si="8"/>
        <v>96922.02</v>
      </c>
      <c r="BJ28" s="22">
        <f t="shared" si="9"/>
        <v>60800</v>
      </c>
      <c r="BK28" s="22">
        <f t="shared" si="10"/>
        <v>24708227.02</v>
      </c>
      <c r="BL28" s="27">
        <v>4000</v>
      </c>
      <c r="BM28" s="28">
        <f t="shared" si="11"/>
        <v>6081.86</v>
      </c>
      <c r="BN28" s="28">
        <v>80</v>
      </c>
      <c r="BO28" s="28">
        <f t="shared" si="12"/>
        <v>15.2</v>
      </c>
      <c r="BP28" s="28">
        <f t="shared" si="13"/>
        <v>6177.0599999999995</v>
      </c>
    </row>
    <row r="29" spans="1:68" x14ac:dyDescent="0.3">
      <c r="A29" s="18" t="s">
        <v>176</v>
      </c>
      <c r="B29" s="18" t="s">
        <v>177</v>
      </c>
      <c r="C29" s="18" t="s">
        <v>178</v>
      </c>
      <c r="D29" s="19">
        <v>46030.208518518513</v>
      </c>
      <c r="E29" s="19"/>
      <c r="F29" s="18" t="s">
        <v>69</v>
      </c>
      <c r="G29" s="18" t="s">
        <v>70</v>
      </c>
      <c r="H29" s="20"/>
      <c r="I29" s="20"/>
      <c r="J29" s="21" t="s">
        <v>73</v>
      </c>
      <c r="K29" s="20" t="s">
        <v>74</v>
      </c>
      <c r="L29" s="20">
        <f t="shared" si="0"/>
        <v>31.94</v>
      </c>
      <c r="M29" s="22">
        <v>2265000</v>
      </c>
      <c r="N29" s="22"/>
      <c r="O29" s="22"/>
      <c r="P29" s="22"/>
      <c r="Q29" s="22"/>
      <c r="R29" s="22"/>
      <c r="S29" s="22">
        <v>453000</v>
      </c>
      <c r="T29" s="22"/>
      <c r="U29" s="22"/>
      <c r="V29" s="22"/>
      <c r="W29" s="22">
        <v>2967095</v>
      </c>
      <c r="X29" s="22"/>
      <c r="Y29" s="22"/>
      <c r="Z29" s="22">
        <v>249095</v>
      </c>
      <c r="AA29" s="22"/>
      <c r="AB29" s="22"/>
      <c r="AC29" s="22"/>
      <c r="AE29" s="22"/>
      <c r="AF29" s="23">
        <f t="shared" si="1"/>
        <v>5934190</v>
      </c>
      <c r="AI29" s="22">
        <v>326180</v>
      </c>
      <c r="AJ29" s="22"/>
      <c r="AK29" s="22">
        <v>66300</v>
      </c>
      <c r="AL29" s="22">
        <v>108800</v>
      </c>
      <c r="AM29" s="22"/>
      <c r="AN29" s="22"/>
      <c r="AO29" s="23">
        <f t="shared" si="2"/>
        <v>501280</v>
      </c>
      <c r="AR29" s="22">
        <v>247258</v>
      </c>
      <c r="AS29" s="22">
        <v>247258</v>
      </c>
      <c r="AT29" s="22">
        <v>5975</v>
      </c>
      <c r="AU29" s="23">
        <f t="shared" si="3"/>
        <v>500491</v>
      </c>
      <c r="AV29" s="25">
        <f t="shared" si="4"/>
        <v>1001771</v>
      </c>
      <c r="AX29" s="22"/>
      <c r="AY29" s="22"/>
      <c r="AZ29" s="22">
        <v>102500</v>
      </c>
      <c r="BD29" s="26">
        <f t="shared" si="5"/>
        <v>102500</v>
      </c>
      <c r="BG29" s="22">
        <f t="shared" si="6"/>
        <v>7066614.8439999996</v>
      </c>
      <c r="BH29" s="22">
        <f t="shared" si="7"/>
        <v>320000</v>
      </c>
      <c r="BI29" s="22">
        <f t="shared" si="8"/>
        <v>28153.844000000001</v>
      </c>
      <c r="BJ29" s="22">
        <f t="shared" si="9"/>
        <v>60800</v>
      </c>
      <c r="BK29" s="22">
        <f t="shared" si="10"/>
        <v>7447414.8439999996</v>
      </c>
      <c r="BL29" s="27">
        <v>4000</v>
      </c>
      <c r="BM29" s="28">
        <f t="shared" si="11"/>
        <v>1766.65</v>
      </c>
      <c r="BN29" s="28">
        <v>80</v>
      </c>
      <c r="BO29" s="28">
        <f t="shared" si="12"/>
        <v>15.2</v>
      </c>
      <c r="BP29" s="28">
        <f t="shared" si="13"/>
        <v>1861.8500000000001</v>
      </c>
    </row>
    <row r="30" spans="1:68" x14ac:dyDescent="0.3">
      <c r="A30" s="18" t="s">
        <v>179</v>
      </c>
      <c r="B30" s="18" t="s">
        <v>180</v>
      </c>
      <c r="C30" s="18" t="s">
        <v>181</v>
      </c>
      <c r="D30" s="19">
        <v>45510.208518518513</v>
      </c>
      <c r="E30" s="19"/>
      <c r="F30" s="18" t="s">
        <v>69</v>
      </c>
      <c r="G30" s="18" t="s">
        <v>70</v>
      </c>
      <c r="H30" s="20" t="s">
        <v>182</v>
      </c>
      <c r="I30" s="20" t="s">
        <v>183</v>
      </c>
      <c r="J30" s="21" t="s">
        <v>73</v>
      </c>
      <c r="K30" s="20" t="s">
        <v>74</v>
      </c>
      <c r="L30" s="20">
        <f t="shared" si="0"/>
        <v>31.94</v>
      </c>
      <c r="M30" s="22">
        <v>11000000</v>
      </c>
      <c r="N30" s="22"/>
      <c r="O30" s="22"/>
      <c r="P30" s="22"/>
      <c r="Q30" s="22"/>
      <c r="R30" s="22"/>
      <c r="S30" s="22"/>
      <c r="T30" s="22"/>
      <c r="U30" s="22"/>
      <c r="V30" s="22"/>
      <c r="W30" s="22">
        <v>11000000</v>
      </c>
      <c r="X30" s="22"/>
      <c r="Y30" s="22"/>
      <c r="Z30" s="22"/>
      <c r="AA30" s="22"/>
      <c r="AB30" s="22"/>
      <c r="AC30" s="22"/>
      <c r="AE30" s="22"/>
      <c r="AF30" s="23">
        <f t="shared" si="1"/>
        <v>22000000</v>
      </c>
      <c r="AI30" s="22">
        <v>1320000</v>
      </c>
      <c r="AJ30" s="22"/>
      <c r="AK30" s="22">
        <v>268000</v>
      </c>
      <c r="AL30" s="22">
        <v>440000</v>
      </c>
      <c r="AM30" s="22"/>
      <c r="AN30" s="22"/>
      <c r="AO30" s="23">
        <f t="shared" si="2"/>
        <v>2028000</v>
      </c>
      <c r="AR30" s="22">
        <v>916666</v>
      </c>
      <c r="AS30" s="22">
        <v>916666</v>
      </c>
      <c r="AT30" s="22">
        <v>27500</v>
      </c>
      <c r="AU30" s="23">
        <f t="shared" si="3"/>
        <v>1860832</v>
      </c>
      <c r="AV30" s="25">
        <f t="shared" si="4"/>
        <v>3888832</v>
      </c>
      <c r="AX30" s="22">
        <v>523200</v>
      </c>
      <c r="AY30" s="22"/>
      <c r="AZ30" s="22"/>
      <c r="BD30" s="26">
        <f t="shared" si="5"/>
        <v>523200</v>
      </c>
      <c r="BG30" s="22">
        <f t="shared" si="6"/>
        <v>26517680.127999999</v>
      </c>
      <c r="BH30" s="22">
        <f t="shared" si="7"/>
        <v>320000</v>
      </c>
      <c r="BI30" s="22">
        <f t="shared" si="8"/>
        <v>105648.128</v>
      </c>
      <c r="BJ30" s="22">
        <f t="shared" si="9"/>
        <v>60800</v>
      </c>
      <c r="BK30" s="22">
        <f t="shared" si="10"/>
        <v>26898480.127999999</v>
      </c>
      <c r="BL30" s="27">
        <v>4000</v>
      </c>
      <c r="BM30" s="28">
        <f t="shared" si="11"/>
        <v>6629.42</v>
      </c>
      <c r="BN30" s="28">
        <v>80</v>
      </c>
      <c r="BO30" s="28">
        <f t="shared" si="12"/>
        <v>15.2</v>
      </c>
      <c r="BP30" s="28">
        <f t="shared" si="13"/>
        <v>6724.62</v>
      </c>
    </row>
    <row r="31" spans="1:68" x14ac:dyDescent="0.3">
      <c r="A31" s="18" t="s">
        <v>184</v>
      </c>
      <c r="B31" s="18" t="s">
        <v>185</v>
      </c>
      <c r="C31" s="18" t="s">
        <v>186</v>
      </c>
      <c r="D31" s="19">
        <v>45992.208518518513</v>
      </c>
      <c r="E31" s="19"/>
      <c r="F31" s="18" t="s">
        <v>69</v>
      </c>
      <c r="G31" s="18" t="s">
        <v>70</v>
      </c>
      <c r="H31" s="20" t="s">
        <v>187</v>
      </c>
      <c r="I31" s="20" t="s">
        <v>188</v>
      </c>
      <c r="J31" s="21" t="s">
        <v>73</v>
      </c>
      <c r="K31" s="20" t="s">
        <v>74</v>
      </c>
      <c r="L31" s="20">
        <f t="shared" si="0"/>
        <v>31.94</v>
      </c>
      <c r="M31" s="22">
        <v>2700000</v>
      </c>
      <c r="N31" s="22"/>
      <c r="O31" s="22"/>
      <c r="P31" s="22"/>
      <c r="Q31" s="22"/>
      <c r="R31" s="22"/>
      <c r="S31" s="22"/>
      <c r="T31" s="22"/>
      <c r="U31" s="22"/>
      <c r="V31" s="22"/>
      <c r="W31" s="22">
        <v>2949095</v>
      </c>
      <c r="X31" s="22"/>
      <c r="Y31" s="22"/>
      <c r="Z31" s="22">
        <v>249095</v>
      </c>
      <c r="AA31" s="22"/>
      <c r="AB31" s="22"/>
      <c r="AC31" s="22"/>
      <c r="AE31" s="22"/>
      <c r="AF31" s="23">
        <f t="shared" si="1"/>
        <v>5898190</v>
      </c>
      <c r="AI31" s="22">
        <v>324000</v>
      </c>
      <c r="AJ31" s="22"/>
      <c r="AK31" s="22">
        <v>65800</v>
      </c>
      <c r="AL31" s="22">
        <v>108000</v>
      </c>
      <c r="AM31" s="22"/>
      <c r="AN31" s="22"/>
      <c r="AO31" s="23">
        <f t="shared" si="2"/>
        <v>497800</v>
      </c>
      <c r="AR31" s="22">
        <v>245758</v>
      </c>
      <c r="AS31" s="22">
        <v>245758</v>
      </c>
      <c r="AT31" s="22">
        <v>7372</v>
      </c>
      <c r="AU31" s="23">
        <f t="shared" si="3"/>
        <v>498888</v>
      </c>
      <c r="AV31" s="25">
        <f t="shared" si="4"/>
        <v>996688</v>
      </c>
      <c r="AX31" s="22"/>
      <c r="AY31" s="22"/>
      <c r="AZ31" s="22"/>
      <c r="BD31" s="26">
        <f t="shared" si="5"/>
        <v>0</v>
      </c>
      <c r="BG31" s="22">
        <f t="shared" si="6"/>
        <v>6922457.5120000001</v>
      </c>
      <c r="BH31" s="22">
        <f t="shared" si="7"/>
        <v>320000</v>
      </c>
      <c r="BI31" s="22">
        <f t="shared" si="8"/>
        <v>27579.511999999999</v>
      </c>
      <c r="BJ31" s="22">
        <f t="shared" si="9"/>
        <v>60800</v>
      </c>
      <c r="BK31" s="22">
        <f t="shared" si="10"/>
        <v>7303257.5120000001</v>
      </c>
      <c r="BL31" s="27">
        <v>4000</v>
      </c>
      <c r="BM31" s="28">
        <f t="shared" si="11"/>
        <v>1730.61</v>
      </c>
      <c r="BN31" s="28">
        <v>80</v>
      </c>
      <c r="BO31" s="28">
        <f t="shared" si="12"/>
        <v>15.2</v>
      </c>
      <c r="BP31" s="28">
        <f t="shared" si="13"/>
        <v>1825.81</v>
      </c>
    </row>
    <row r="32" spans="1:68" x14ac:dyDescent="0.3">
      <c r="A32" s="18" t="s">
        <v>189</v>
      </c>
      <c r="B32" s="18" t="s">
        <v>190</v>
      </c>
      <c r="C32" s="18" t="s">
        <v>191</v>
      </c>
      <c r="D32" s="19">
        <v>45432.208518518513</v>
      </c>
      <c r="E32" s="19"/>
      <c r="F32" s="18" t="s">
        <v>69</v>
      </c>
      <c r="G32" s="18" t="s">
        <v>70</v>
      </c>
      <c r="H32" s="20" t="s">
        <v>192</v>
      </c>
      <c r="I32" s="20" t="s">
        <v>193</v>
      </c>
      <c r="J32" s="21" t="s">
        <v>73</v>
      </c>
      <c r="K32" s="20" t="s">
        <v>74</v>
      </c>
      <c r="L32" s="20">
        <f t="shared" si="0"/>
        <v>31.94</v>
      </c>
      <c r="M32" s="22">
        <v>27765037</v>
      </c>
      <c r="N32" s="22"/>
      <c r="O32" s="22"/>
      <c r="P32" s="22"/>
      <c r="Q32" s="22"/>
      <c r="R32" s="22"/>
      <c r="S32" s="22"/>
      <c r="T32" s="22"/>
      <c r="U32" s="22"/>
      <c r="V32" s="22"/>
      <c r="W32" s="22">
        <v>27765037</v>
      </c>
      <c r="X32" s="22"/>
      <c r="Y32" s="22"/>
      <c r="Z32" s="22"/>
      <c r="AA32" s="22"/>
      <c r="AB32" s="22"/>
      <c r="AC32" s="22"/>
      <c r="AE32" s="22"/>
      <c r="AF32" s="23">
        <f t="shared" si="1"/>
        <v>55530074</v>
      </c>
      <c r="AI32" s="22">
        <v>3331899</v>
      </c>
      <c r="AJ32" s="22">
        <v>2360099</v>
      </c>
      <c r="AK32" s="22">
        <v>676400</v>
      </c>
      <c r="AL32" s="22">
        <v>1110700</v>
      </c>
      <c r="AM32" s="22">
        <v>555400</v>
      </c>
      <c r="AN32" s="22">
        <v>833000</v>
      </c>
      <c r="AO32" s="23">
        <f t="shared" si="2"/>
        <v>8867498</v>
      </c>
      <c r="AR32" s="22">
        <v>2313753</v>
      </c>
      <c r="AS32" s="22">
        <v>2313753</v>
      </c>
      <c r="AT32" s="22">
        <v>69412</v>
      </c>
      <c r="AU32" s="23">
        <f t="shared" si="3"/>
        <v>4696918</v>
      </c>
      <c r="AV32" s="25">
        <f t="shared" si="4"/>
        <v>13564416</v>
      </c>
      <c r="AX32" s="22"/>
      <c r="AY32" s="22"/>
      <c r="AZ32" s="22"/>
      <c r="BD32" s="26">
        <f t="shared" si="5"/>
        <v>0</v>
      </c>
      <c r="BG32" s="22">
        <f t="shared" si="6"/>
        <v>69370867.959999993</v>
      </c>
      <c r="BH32" s="22">
        <f t="shared" si="7"/>
        <v>320000</v>
      </c>
      <c r="BI32" s="22">
        <f t="shared" si="8"/>
        <v>276377.96000000002</v>
      </c>
      <c r="BJ32" s="22">
        <f t="shared" si="9"/>
        <v>60800</v>
      </c>
      <c r="BK32" s="22">
        <f t="shared" si="10"/>
        <v>69751667.959999993</v>
      </c>
      <c r="BL32" s="27">
        <v>4000</v>
      </c>
      <c r="BM32" s="28">
        <f t="shared" si="11"/>
        <v>17342.72</v>
      </c>
      <c r="BN32" s="28">
        <v>80</v>
      </c>
      <c r="BO32" s="28">
        <f t="shared" si="12"/>
        <v>15.2</v>
      </c>
      <c r="BP32" s="28">
        <f t="shared" si="13"/>
        <v>17437.920000000002</v>
      </c>
    </row>
    <row r="33" spans="1:68" x14ac:dyDescent="0.3">
      <c r="A33" s="18" t="s">
        <v>194</v>
      </c>
      <c r="B33" s="18" t="s">
        <v>195</v>
      </c>
      <c r="C33" s="18" t="s">
        <v>196</v>
      </c>
      <c r="D33" s="19">
        <v>45597.208518518513</v>
      </c>
      <c r="E33" s="19"/>
      <c r="F33" s="18" t="s">
        <v>69</v>
      </c>
      <c r="G33" s="18" t="s">
        <v>70</v>
      </c>
      <c r="H33" s="20" t="s">
        <v>93</v>
      </c>
      <c r="I33" s="20" t="s">
        <v>94</v>
      </c>
      <c r="J33" s="21" t="s">
        <v>73</v>
      </c>
      <c r="K33" s="20" t="s">
        <v>74</v>
      </c>
      <c r="L33" s="20">
        <f t="shared" si="0"/>
        <v>31.94</v>
      </c>
      <c r="M33" s="22">
        <v>3401600</v>
      </c>
      <c r="N33" s="22"/>
      <c r="O33" s="22"/>
      <c r="P33" s="22"/>
      <c r="Q33" s="22"/>
      <c r="R33" s="22">
        <v>222650</v>
      </c>
      <c r="S33" s="22">
        <v>64350</v>
      </c>
      <c r="T33" s="22"/>
      <c r="U33" s="22"/>
      <c r="V33" s="22"/>
      <c r="W33" s="22">
        <v>3937695</v>
      </c>
      <c r="X33" s="22"/>
      <c r="Y33" s="22"/>
      <c r="Z33" s="22">
        <v>249095</v>
      </c>
      <c r="AA33" s="22"/>
      <c r="AB33" s="22"/>
      <c r="AC33" s="22"/>
      <c r="AE33" s="22"/>
      <c r="AF33" s="23">
        <f t="shared" si="1"/>
        <v>7875390</v>
      </c>
      <c r="AI33" s="22">
        <v>442656</v>
      </c>
      <c r="AJ33" s="22"/>
      <c r="AK33" s="22">
        <v>19300</v>
      </c>
      <c r="AL33" s="22">
        <v>147600</v>
      </c>
      <c r="AM33" s="22"/>
      <c r="AN33" s="22"/>
      <c r="AO33" s="23">
        <f t="shared" si="2"/>
        <v>609556</v>
      </c>
      <c r="AR33" s="22">
        <v>328142</v>
      </c>
      <c r="AS33" s="22">
        <v>328142</v>
      </c>
      <c r="AT33" s="22">
        <v>9845</v>
      </c>
      <c r="AU33" s="23">
        <f t="shared" si="3"/>
        <v>666129</v>
      </c>
      <c r="AV33" s="25">
        <f t="shared" si="4"/>
        <v>1275685</v>
      </c>
      <c r="AX33" s="22"/>
      <c r="AY33" s="22"/>
      <c r="AZ33" s="22"/>
      <c r="BD33" s="26">
        <f t="shared" si="5"/>
        <v>0</v>
      </c>
      <c r="BG33" s="22">
        <f t="shared" si="6"/>
        <v>9187679.3000000007</v>
      </c>
      <c r="BH33" s="22">
        <f t="shared" si="7"/>
        <v>320000</v>
      </c>
      <c r="BI33" s="22">
        <f t="shared" si="8"/>
        <v>36604.300000000003</v>
      </c>
      <c r="BJ33" s="22">
        <f t="shared" si="9"/>
        <v>60800</v>
      </c>
      <c r="BK33" s="22">
        <f t="shared" si="10"/>
        <v>9568479.3000000007</v>
      </c>
      <c r="BL33" s="27">
        <v>4000</v>
      </c>
      <c r="BM33" s="28">
        <f t="shared" si="11"/>
        <v>2296.92</v>
      </c>
      <c r="BN33" s="28">
        <v>80</v>
      </c>
      <c r="BO33" s="28">
        <f t="shared" si="12"/>
        <v>15.2</v>
      </c>
      <c r="BP33" s="28">
        <f t="shared" si="13"/>
        <v>2392.12</v>
      </c>
    </row>
    <row r="34" spans="1:68" x14ac:dyDescent="0.3">
      <c r="A34" s="18" t="s">
        <v>197</v>
      </c>
      <c r="B34" s="18" t="s">
        <v>198</v>
      </c>
      <c r="C34" s="18" t="s">
        <v>199</v>
      </c>
      <c r="D34" s="19">
        <v>45551.208518518513</v>
      </c>
      <c r="E34" s="19"/>
      <c r="F34" s="18" t="s">
        <v>69</v>
      </c>
      <c r="G34" s="18" t="s">
        <v>70</v>
      </c>
      <c r="H34" s="20" t="s">
        <v>111</v>
      </c>
      <c r="I34" s="20" t="s">
        <v>112</v>
      </c>
      <c r="J34" s="21" t="s">
        <v>73</v>
      </c>
      <c r="K34" s="20" t="s">
        <v>74</v>
      </c>
      <c r="L34" s="20">
        <f t="shared" si="0"/>
        <v>31.94</v>
      </c>
      <c r="M34" s="22">
        <v>6973529</v>
      </c>
      <c r="N34" s="22"/>
      <c r="O34" s="22"/>
      <c r="P34" s="22"/>
      <c r="Q34" s="22"/>
      <c r="R34" s="22"/>
      <c r="S34" s="22"/>
      <c r="T34" s="22"/>
      <c r="U34" s="22"/>
      <c r="V34" s="22"/>
      <c r="W34" s="22">
        <v>6973529</v>
      </c>
      <c r="X34" s="22"/>
      <c r="Y34" s="22"/>
      <c r="Z34" s="22"/>
      <c r="AA34" s="22"/>
      <c r="AB34" s="22"/>
      <c r="AC34" s="22"/>
      <c r="AE34" s="22"/>
      <c r="AF34" s="23">
        <f t="shared" si="1"/>
        <v>13947058</v>
      </c>
      <c r="AI34" s="22">
        <v>836859</v>
      </c>
      <c r="AJ34" s="22"/>
      <c r="AK34" s="22">
        <v>36500</v>
      </c>
      <c r="AL34" s="22">
        <v>279000</v>
      </c>
      <c r="AM34" s="22"/>
      <c r="AN34" s="22"/>
      <c r="AO34" s="23">
        <f t="shared" si="2"/>
        <v>1152359</v>
      </c>
      <c r="AR34" s="22">
        <v>581128</v>
      </c>
      <c r="AS34" s="22">
        <v>581128</v>
      </c>
      <c r="AT34" s="22">
        <v>17434</v>
      </c>
      <c r="AU34" s="23">
        <f t="shared" si="3"/>
        <v>1179690</v>
      </c>
      <c r="AV34" s="25">
        <f t="shared" si="4"/>
        <v>2332049</v>
      </c>
      <c r="AX34" s="22"/>
      <c r="AY34" s="22"/>
      <c r="AZ34" s="22"/>
      <c r="BD34" s="26">
        <f t="shared" si="5"/>
        <v>0</v>
      </c>
      <c r="BG34" s="22">
        <f t="shared" si="6"/>
        <v>16344223.427999999</v>
      </c>
      <c r="BH34" s="22">
        <f t="shared" si="7"/>
        <v>320000</v>
      </c>
      <c r="BI34" s="22">
        <f t="shared" si="8"/>
        <v>65116.428</v>
      </c>
      <c r="BJ34" s="22">
        <f t="shared" si="9"/>
        <v>60800</v>
      </c>
      <c r="BK34" s="22">
        <f t="shared" si="10"/>
        <v>16725023.427999999</v>
      </c>
      <c r="BL34" s="27">
        <v>4000</v>
      </c>
      <c r="BM34" s="28">
        <f t="shared" si="11"/>
        <v>4086.06</v>
      </c>
      <c r="BN34" s="28">
        <v>80</v>
      </c>
      <c r="BO34" s="28">
        <f t="shared" si="12"/>
        <v>15.2</v>
      </c>
      <c r="BP34" s="28">
        <f t="shared" si="13"/>
        <v>4181.2599999999993</v>
      </c>
    </row>
    <row r="35" spans="1:68" x14ac:dyDescent="0.3">
      <c r="A35" s="18" t="s">
        <v>200</v>
      </c>
      <c r="B35" s="18" t="s">
        <v>201</v>
      </c>
      <c r="C35" s="18" t="s">
        <v>202</v>
      </c>
      <c r="D35" s="19">
        <v>45761.208518518513</v>
      </c>
      <c r="E35" s="19"/>
      <c r="F35" s="18" t="s">
        <v>69</v>
      </c>
      <c r="G35" s="18" t="s">
        <v>70</v>
      </c>
      <c r="H35" s="20" t="s">
        <v>83</v>
      </c>
      <c r="I35" s="20" t="s">
        <v>84</v>
      </c>
      <c r="J35" s="21" t="s">
        <v>73</v>
      </c>
      <c r="K35" s="20" t="s">
        <v>74</v>
      </c>
      <c r="L35" s="20">
        <f t="shared" si="0"/>
        <v>31.94</v>
      </c>
      <c r="M35" s="22">
        <v>4200000</v>
      </c>
      <c r="N35" s="22"/>
      <c r="O35" s="22">
        <v>300000</v>
      </c>
      <c r="P35" s="22"/>
      <c r="Q35" s="22"/>
      <c r="R35" s="22"/>
      <c r="S35" s="22">
        <v>2250000</v>
      </c>
      <c r="T35" s="22"/>
      <c r="U35" s="22">
        <v>170000</v>
      </c>
      <c r="V35" s="22"/>
      <c r="W35" s="22">
        <v>7029000</v>
      </c>
      <c r="X35" s="22"/>
      <c r="Y35" s="22"/>
      <c r="Z35" s="22"/>
      <c r="AA35" s="22">
        <v>109000</v>
      </c>
      <c r="AB35" s="22"/>
      <c r="AC35" s="22"/>
      <c r="AE35" s="22"/>
      <c r="AF35" s="23">
        <f t="shared" si="1"/>
        <v>14058000</v>
      </c>
      <c r="AI35" s="22">
        <v>810000</v>
      </c>
      <c r="AJ35" s="22"/>
      <c r="AK35" s="22">
        <v>157200</v>
      </c>
      <c r="AL35" s="22">
        <v>258000</v>
      </c>
      <c r="AM35" s="22"/>
      <c r="AN35" s="22"/>
      <c r="AO35" s="23">
        <f t="shared" si="2"/>
        <v>1225200</v>
      </c>
      <c r="AR35" s="22">
        <v>562500</v>
      </c>
      <c r="AS35" s="22">
        <v>562500</v>
      </c>
      <c r="AT35" s="22">
        <v>15000</v>
      </c>
      <c r="AU35" s="23">
        <f t="shared" si="3"/>
        <v>1140000</v>
      </c>
      <c r="AV35" s="25">
        <f t="shared" si="4"/>
        <v>2365200</v>
      </c>
      <c r="AX35" s="22"/>
      <c r="AY35" s="22">
        <v>420575</v>
      </c>
      <c r="AZ35" s="22"/>
      <c r="BD35" s="26">
        <f t="shared" si="5"/>
        <v>420575</v>
      </c>
      <c r="BG35" s="22">
        <f t="shared" si="6"/>
        <v>16911150.100000001</v>
      </c>
      <c r="BH35" s="22">
        <f t="shared" si="7"/>
        <v>320000</v>
      </c>
      <c r="BI35" s="22">
        <f t="shared" si="8"/>
        <v>67375.100000000006</v>
      </c>
      <c r="BJ35" s="22">
        <f t="shared" si="9"/>
        <v>60800</v>
      </c>
      <c r="BK35" s="22">
        <f t="shared" si="10"/>
        <v>17291950.100000001</v>
      </c>
      <c r="BL35" s="27">
        <v>4000</v>
      </c>
      <c r="BM35" s="28">
        <f t="shared" si="11"/>
        <v>4227.79</v>
      </c>
      <c r="BN35" s="28">
        <v>80</v>
      </c>
      <c r="BO35" s="28">
        <f t="shared" si="12"/>
        <v>15.2</v>
      </c>
      <c r="BP35" s="28">
        <f t="shared" si="13"/>
        <v>4322.99</v>
      </c>
    </row>
    <row r="36" spans="1:68" x14ac:dyDescent="0.3">
      <c r="A36" s="18" t="s">
        <v>203</v>
      </c>
      <c r="B36" s="18" t="s">
        <v>204</v>
      </c>
      <c r="C36" s="18" t="s">
        <v>205</v>
      </c>
      <c r="D36" s="19">
        <v>45705.208518518513</v>
      </c>
      <c r="E36" s="19"/>
      <c r="F36" s="18" t="s">
        <v>69</v>
      </c>
      <c r="G36" s="18" t="s">
        <v>70</v>
      </c>
      <c r="H36" s="20" t="s">
        <v>93</v>
      </c>
      <c r="I36" s="20" t="s">
        <v>94</v>
      </c>
      <c r="J36" s="21" t="s">
        <v>73</v>
      </c>
      <c r="K36" s="20" t="s">
        <v>74</v>
      </c>
      <c r="L36" s="20">
        <f t="shared" ref="L36:L67" si="14">IF(AL36&gt;0,31.94,14.44)</f>
        <v>31.94</v>
      </c>
      <c r="M36" s="22">
        <v>3383333</v>
      </c>
      <c r="N36" s="22"/>
      <c r="O36" s="22">
        <v>116667</v>
      </c>
      <c r="P36" s="22"/>
      <c r="Q36" s="22"/>
      <c r="R36" s="22">
        <v>229091</v>
      </c>
      <c r="S36" s="22">
        <v>1628000</v>
      </c>
      <c r="T36" s="22"/>
      <c r="U36" s="22"/>
      <c r="V36" s="22"/>
      <c r="W36" s="22">
        <v>5597883</v>
      </c>
      <c r="X36" s="22"/>
      <c r="Y36" s="22"/>
      <c r="Z36" s="22">
        <v>240792</v>
      </c>
      <c r="AA36" s="22"/>
      <c r="AB36" s="22"/>
      <c r="AC36" s="22"/>
      <c r="AE36" s="22"/>
      <c r="AF36" s="23">
        <f t="shared" ref="AF36:AF67" si="15">SUM(M36,O36,P36,Q36,R36,S36,T36,U36,V36,W36,X36,Y36,Z36,AA36,AB36,AC36,N36,AE36,AD36)</f>
        <v>11195766</v>
      </c>
      <c r="AI36" s="22">
        <v>642916</v>
      </c>
      <c r="AJ36" s="22"/>
      <c r="AK36" s="22">
        <v>27400</v>
      </c>
      <c r="AL36" s="22">
        <v>209700</v>
      </c>
      <c r="AM36" s="22"/>
      <c r="AN36" s="22"/>
      <c r="AO36" s="23">
        <f t="shared" ref="AO36:AO67" si="16">SUM(AL36,AJ36,AN36,AK36,AM36,AI36)</f>
        <v>880016</v>
      </c>
      <c r="AR36" s="22">
        <v>467182</v>
      </c>
      <c r="AS36" s="22">
        <v>467182</v>
      </c>
      <c r="AT36" s="22">
        <v>14114</v>
      </c>
      <c r="AU36" s="23">
        <f t="shared" ref="AU36:AU67" si="17">SUM(AR36,AS36,AT36)</f>
        <v>948478</v>
      </c>
      <c r="AV36" s="25">
        <f t="shared" ref="AV36:AV67" si="18">SUM(AO36,AU36)</f>
        <v>1828494</v>
      </c>
      <c r="AX36" s="22"/>
      <c r="AY36" s="22"/>
      <c r="AZ36" s="22"/>
      <c r="BD36" s="26">
        <f t="shared" ref="BD36:BD67" si="19">SUM(AX36,AY36,AZ36,BA36,BB36,BC36,AD36)</f>
        <v>0</v>
      </c>
      <c r="BG36" s="22">
        <f t="shared" ref="BG36:BG67" si="20">SUM(AF36,AO36,AU36,BD36,BI36)</f>
        <v>13076357.039999999</v>
      </c>
      <c r="BH36" s="22">
        <f t="shared" ref="BH36:BH67" si="21">80*BL36</f>
        <v>320000</v>
      </c>
      <c r="BI36" s="22">
        <f t="shared" ref="BI36:BI67" si="22">(AF36+AO36+AU36+BD36)*0.004</f>
        <v>52097.04</v>
      </c>
      <c r="BJ36" s="22">
        <f t="shared" ref="BJ36:BJ67" si="23">BH36*0.19</f>
        <v>60800</v>
      </c>
      <c r="BK36" s="22">
        <f t="shared" ref="BK36:BK67" si="24">SUM(BG36,BH36,BJ36)</f>
        <v>13457157.039999999</v>
      </c>
      <c r="BL36" s="27">
        <v>4000</v>
      </c>
      <c r="BM36" s="28">
        <f t="shared" ref="BM36:BM67" si="25">ROUND(BG36/BL36,2)</f>
        <v>3269.09</v>
      </c>
      <c r="BN36" s="28">
        <v>80</v>
      </c>
      <c r="BO36" s="28">
        <f t="shared" ref="BO36:BO67" si="26">ROUND(BJ36/BL36,2)</f>
        <v>15.2</v>
      </c>
      <c r="BP36" s="28">
        <f t="shared" ref="BP36:BP67" si="27">SUM(BM36,BN36,BO36)</f>
        <v>3364.29</v>
      </c>
    </row>
    <row r="37" spans="1:68" x14ac:dyDescent="0.3">
      <c r="A37" s="18" t="s">
        <v>206</v>
      </c>
      <c r="B37" s="18" t="s">
        <v>207</v>
      </c>
      <c r="C37" s="18" t="s">
        <v>208</v>
      </c>
      <c r="D37" s="19">
        <v>45992.208518518513</v>
      </c>
      <c r="E37" s="19"/>
      <c r="F37" s="18" t="s">
        <v>69</v>
      </c>
      <c r="G37" s="18" t="s">
        <v>70</v>
      </c>
      <c r="H37" s="20" t="s">
        <v>134</v>
      </c>
      <c r="I37" s="20" t="s">
        <v>135</v>
      </c>
      <c r="J37" s="21" t="s">
        <v>73</v>
      </c>
      <c r="K37" s="20" t="s">
        <v>74</v>
      </c>
      <c r="L37" s="20">
        <f t="shared" si="14"/>
        <v>31.94</v>
      </c>
      <c r="M37" s="22">
        <v>4294888</v>
      </c>
      <c r="N37" s="22"/>
      <c r="O37" s="22"/>
      <c r="P37" s="22"/>
      <c r="Q37" s="22"/>
      <c r="R37" s="22"/>
      <c r="S37" s="22"/>
      <c r="T37" s="22"/>
      <c r="U37" s="22"/>
      <c r="V37" s="22">
        <v>431915</v>
      </c>
      <c r="W37" s="22">
        <v>4726803</v>
      </c>
      <c r="X37" s="22"/>
      <c r="Y37" s="22"/>
      <c r="Z37" s="22"/>
      <c r="AA37" s="22"/>
      <c r="AB37" s="22"/>
      <c r="AC37" s="22"/>
      <c r="AE37" s="22"/>
      <c r="AF37" s="23">
        <f t="shared" si="15"/>
        <v>9453606</v>
      </c>
      <c r="AI37" s="22">
        <v>515505</v>
      </c>
      <c r="AJ37" s="22"/>
      <c r="AK37" s="22">
        <v>90700</v>
      </c>
      <c r="AL37" s="22">
        <v>171900</v>
      </c>
      <c r="AM37" s="22"/>
      <c r="AN37" s="22"/>
      <c r="AO37" s="23">
        <f t="shared" si="16"/>
        <v>778105</v>
      </c>
      <c r="AR37" s="22">
        <v>357908</v>
      </c>
      <c r="AS37" s="22">
        <v>357908</v>
      </c>
      <c r="AT37" s="22">
        <v>10737</v>
      </c>
      <c r="AU37" s="23">
        <f t="shared" si="17"/>
        <v>726553</v>
      </c>
      <c r="AV37" s="25">
        <f t="shared" si="18"/>
        <v>1504658</v>
      </c>
      <c r="AX37" s="22"/>
      <c r="AY37" s="22">
        <v>432545</v>
      </c>
      <c r="AZ37" s="22"/>
      <c r="BD37" s="26">
        <f t="shared" si="19"/>
        <v>432545</v>
      </c>
      <c r="BG37" s="22">
        <f t="shared" si="20"/>
        <v>11436372.236</v>
      </c>
      <c r="BH37" s="22">
        <f t="shared" si="21"/>
        <v>320000</v>
      </c>
      <c r="BI37" s="22">
        <f t="shared" si="22"/>
        <v>45563.236000000004</v>
      </c>
      <c r="BJ37" s="22">
        <f t="shared" si="23"/>
        <v>60800</v>
      </c>
      <c r="BK37" s="22">
        <f t="shared" si="24"/>
        <v>11817172.236</v>
      </c>
      <c r="BL37" s="27">
        <v>4000</v>
      </c>
      <c r="BM37" s="28">
        <f t="shared" si="25"/>
        <v>2859.09</v>
      </c>
      <c r="BN37" s="28">
        <v>80</v>
      </c>
      <c r="BO37" s="28">
        <f t="shared" si="26"/>
        <v>15.2</v>
      </c>
      <c r="BP37" s="28">
        <f t="shared" si="27"/>
        <v>2954.29</v>
      </c>
    </row>
    <row r="38" spans="1:68" x14ac:dyDescent="0.3">
      <c r="A38" s="18" t="s">
        <v>209</v>
      </c>
      <c r="B38" s="18" t="s">
        <v>210</v>
      </c>
      <c r="C38" s="18" t="s">
        <v>211</v>
      </c>
      <c r="D38" s="19">
        <v>45524.208518518513</v>
      </c>
      <c r="E38" s="19"/>
      <c r="F38" s="18" t="s">
        <v>69</v>
      </c>
      <c r="G38" s="18" t="s">
        <v>70</v>
      </c>
      <c r="H38" s="20" t="s">
        <v>93</v>
      </c>
      <c r="I38" s="20" t="s">
        <v>94</v>
      </c>
      <c r="J38" s="21" t="s">
        <v>73</v>
      </c>
      <c r="K38" s="20" t="s">
        <v>74</v>
      </c>
      <c r="L38" s="20">
        <f t="shared" si="14"/>
        <v>31.94</v>
      </c>
      <c r="M38" s="22">
        <v>9000000</v>
      </c>
      <c r="N38" s="22"/>
      <c r="O38" s="22"/>
      <c r="P38" s="22"/>
      <c r="Q38" s="22"/>
      <c r="R38" s="22">
        <v>589091</v>
      </c>
      <c r="S38" s="22"/>
      <c r="T38" s="22"/>
      <c r="U38" s="22"/>
      <c r="V38" s="22"/>
      <c r="W38" s="22">
        <v>9589091</v>
      </c>
      <c r="X38" s="22"/>
      <c r="Y38" s="22"/>
      <c r="Z38" s="22"/>
      <c r="AA38" s="22"/>
      <c r="AB38" s="22"/>
      <c r="AC38" s="22"/>
      <c r="AE38" s="22"/>
      <c r="AF38" s="23">
        <f t="shared" si="15"/>
        <v>19178182</v>
      </c>
      <c r="AI38" s="22">
        <v>1150736</v>
      </c>
      <c r="AJ38" s="22"/>
      <c r="AK38" s="22">
        <v>50100</v>
      </c>
      <c r="AL38" s="22">
        <v>383600</v>
      </c>
      <c r="AM38" s="22"/>
      <c r="AN38" s="22"/>
      <c r="AO38" s="23">
        <f t="shared" si="16"/>
        <v>1584436</v>
      </c>
      <c r="AR38" s="22">
        <v>799091</v>
      </c>
      <c r="AS38" s="22">
        <v>799091</v>
      </c>
      <c r="AT38" s="22">
        <v>23973</v>
      </c>
      <c r="AU38" s="23">
        <f t="shared" si="17"/>
        <v>1622155</v>
      </c>
      <c r="AV38" s="25">
        <f t="shared" si="18"/>
        <v>3206591</v>
      </c>
      <c r="AX38" s="22"/>
      <c r="AY38" s="22"/>
      <c r="AZ38" s="22"/>
      <c r="BD38" s="26">
        <f t="shared" si="19"/>
        <v>0</v>
      </c>
      <c r="BG38" s="22">
        <f t="shared" si="20"/>
        <v>22474312.092</v>
      </c>
      <c r="BH38" s="22">
        <f t="shared" si="21"/>
        <v>320000</v>
      </c>
      <c r="BI38" s="22">
        <f t="shared" si="22"/>
        <v>89539.092000000004</v>
      </c>
      <c r="BJ38" s="22">
        <f t="shared" si="23"/>
        <v>60800</v>
      </c>
      <c r="BK38" s="22">
        <f t="shared" si="24"/>
        <v>22855112.092</v>
      </c>
      <c r="BL38" s="27">
        <v>4000</v>
      </c>
      <c r="BM38" s="28">
        <f t="shared" si="25"/>
        <v>5618.58</v>
      </c>
      <c r="BN38" s="28">
        <v>80</v>
      </c>
      <c r="BO38" s="28">
        <f t="shared" si="26"/>
        <v>15.2</v>
      </c>
      <c r="BP38" s="28">
        <f t="shared" si="27"/>
        <v>5713.78</v>
      </c>
    </row>
    <row r="39" spans="1:68" x14ac:dyDescent="0.3">
      <c r="A39" s="18" t="s">
        <v>212</v>
      </c>
      <c r="B39" s="18" t="s">
        <v>213</v>
      </c>
      <c r="C39" s="18" t="s">
        <v>214</v>
      </c>
      <c r="D39" s="19">
        <v>45587.208518518513</v>
      </c>
      <c r="E39" s="19"/>
      <c r="F39" s="18" t="s">
        <v>69</v>
      </c>
      <c r="G39" s="18" t="s">
        <v>70</v>
      </c>
      <c r="H39" s="20" t="s">
        <v>215</v>
      </c>
      <c r="I39" s="20" t="s">
        <v>216</v>
      </c>
      <c r="J39" s="21" t="s">
        <v>73</v>
      </c>
      <c r="K39" s="20" t="s">
        <v>74</v>
      </c>
      <c r="L39" s="20">
        <f t="shared" si="14"/>
        <v>31.94</v>
      </c>
      <c r="M39" s="22">
        <v>22761765</v>
      </c>
      <c r="N39" s="22"/>
      <c r="O39" s="22"/>
      <c r="P39" s="22"/>
      <c r="Q39" s="22"/>
      <c r="R39" s="22"/>
      <c r="S39" s="22"/>
      <c r="T39" s="22"/>
      <c r="U39" s="22"/>
      <c r="V39" s="22"/>
      <c r="W39" s="22">
        <v>22761765</v>
      </c>
      <c r="X39" s="22"/>
      <c r="Y39" s="22"/>
      <c r="Z39" s="22"/>
      <c r="AA39" s="22"/>
      <c r="AB39" s="22"/>
      <c r="AC39" s="22"/>
      <c r="AE39" s="22"/>
      <c r="AF39" s="23">
        <f t="shared" si="15"/>
        <v>45523530</v>
      </c>
      <c r="AI39" s="22">
        <v>1912071</v>
      </c>
      <c r="AJ39" s="22">
        <v>1354371</v>
      </c>
      <c r="AK39" s="22">
        <v>388200</v>
      </c>
      <c r="AL39" s="22">
        <v>637400</v>
      </c>
      <c r="AM39" s="22">
        <v>318700</v>
      </c>
      <c r="AN39" s="22">
        <v>478000</v>
      </c>
      <c r="AO39" s="23">
        <f t="shared" si="16"/>
        <v>5088742</v>
      </c>
      <c r="AR39" s="22"/>
      <c r="AS39" s="22"/>
      <c r="AT39" s="22"/>
      <c r="AU39" s="23">
        <f t="shared" si="17"/>
        <v>0</v>
      </c>
      <c r="AV39" s="25">
        <f t="shared" si="18"/>
        <v>5088742</v>
      </c>
      <c r="AX39" s="22"/>
      <c r="AY39" s="22"/>
      <c r="AZ39" s="22"/>
      <c r="BD39" s="26">
        <f t="shared" si="19"/>
        <v>0</v>
      </c>
      <c r="BG39" s="22">
        <f t="shared" si="20"/>
        <v>50814721.088</v>
      </c>
      <c r="BH39" s="22">
        <f t="shared" si="21"/>
        <v>320000</v>
      </c>
      <c r="BI39" s="22">
        <f t="shared" si="22"/>
        <v>202449.08800000002</v>
      </c>
      <c r="BJ39" s="22">
        <f t="shared" si="23"/>
        <v>60800</v>
      </c>
      <c r="BK39" s="22">
        <f t="shared" si="24"/>
        <v>51195521.088</v>
      </c>
      <c r="BL39" s="27">
        <v>4000</v>
      </c>
      <c r="BM39" s="28">
        <f t="shared" si="25"/>
        <v>12703.68</v>
      </c>
      <c r="BN39" s="28">
        <v>80</v>
      </c>
      <c r="BO39" s="28">
        <f t="shared" si="26"/>
        <v>15.2</v>
      </c>
      <c r="BP39" s="28">
        <f t="shared" si="27"/>
        <v>12798.880000000001</v>
      </c>
    </row>
    <row r="40" spans="1:68" x14ac:dyDescent="0.3">
      <c r="A40" s="18" t="s">
        <v>217</v>
      </c>
      <c r="B40" s="18" t="s">
        <v>218</v>
      </c>
      <c r="C40" s="18" t="s">
        <v>219</v>
      </c>
      <c r="D40" s="19">
        <v>45880.208518518513</v>
      </c>
      <c r="E40" s="19"/>
      <c r="F40" s="18" t="s">
        <v>69</v>
      </c>
      <c r="G40" s="18" t="s">
        <v>70</v>
      </c>
      <c r="H40" s="20" t="s">
        <v>93</v>
      </c>
      <c r="I40" s="20" t="s">
        <v>94</v>
      </c>
      <c r="J40" s="21" t="s">
        <v>73</v>
      </c>
      <c r="K40" s="20" t="s">
        <v>74</v>
      </c>
      <c r="L40" s="20">
        <f t="shared" si="14"/>
        <v>31.94</v>
      </c>
      <c r="M40" s="22">
        <v>4500000</v>
      </c>
      <c r="N40" s="22"/>
      <c r="O40" s="22"/>
      <c r="P40" s="22"/>
      <c r="Q40" s="22"/>
      <c r="R40" s="22">
        <v>294545</v>
      </c>
      <c r="S40" s="22">
        <v>1320000</v>
      </c>
      <c r="T40" s="22"/>
      <c r="U40" s="22"/>
      <c r="V40" s="22"/>
      <c r="W40" s="22">
        <v>6114545</v>
      </c>
      <c r="X40" s="22"/>
      <c r="Y40" s="22"/>
      <c r="Z40" s="22"/>
      <c r="AA40" s="22"/>
      <c r="AB40" s="22"/>
      <c r="AC40" s="22"/>
      <c r="AE40" s="22"/>
      <c r="AF40" s="23">
        <f t="shared" si="15"/>
        <v>12229090</v>
      </c>
      <c r="AI40" s="22">
        <v>733818</v>
      </c>
      <c r="AJ40" s="22"/>
      <c r="AK40" s="22">
        <v>32000</v>
      </c>
      <c r="AL40" s="22">
        <v>244600</v>
      </c>
      <c r="AM40" s="22"/>
      <c r="AN40" s="22"/>
      <c r="AO40" s="23">
        <f t="shared" si="16"/>
        <v>1010418</v>
      </c>
      <c r="AR40" s="22">
        <v>509545</v>
      </c>
      <c r="AS40" s="22">
        <v>509545</v>
      </c>
      <c r="AT40" s="22">
        <v>14752</v>
      </c>
      <c r="AU40" s="23">
        <f t="shared" si="17"/>
        <v>1033842</v>
      </c>
      <c r="AV40" s="25">
        <f t="shared" si="18"/>
        <v>2044260</v>
      </c>
      <c r="AX40" s="22"/>
      <c r="AY40" s="22"/>
      <c r="AZ40" s="22"/>
      <c r="BD40" s="26">
        <f t="shared" si="19"/>
        <v>0</v>
      </c>
      <c r="BG40" s="22">
        <f t="shared" si="20"/>
        <v>14330443.4</v>
      </c>
      <c r="BH40" s="22">
        <f t="shared" si="21"/>
        <v>320000</v>
      </c>
      <c r="BI40" s="22">
        <f t="shared" si="22"/>
        <v>57093.4</v>
      </c>
      <c r="BJ40" s="22">
        <f t="shared" si="23"/>
        <v>60800</v>
      </c>
      <c r="BK40" s="22">
        <f t="shared" si="24"/>
        <v>14711243.4</v>
      </c>
      <c r="BL40" s="27">
        <v>4000</v>
      </c>
      <c r="BM40" s="28">
        <f t="shared" si="25"/>
        <v>3582.61</v>
      </c>
      <c r="BN40" s="28">
        <v>80</v>
      </c>
      <c r="BO40" s="28">
        <f t="shared" si="26"/>
        <v>15.2</v>
      </c>
      <c r="BP40" s="28">
        <f t="shared" si="27"/>
        <v>3677.81</v>
      </c>
    </row>
    <row r="41" spans="1:68" x14ac:dyDescent="0.3">
      <c r="A41" s="18" t="s">
        <v>220</v>
      </c>
      <c r="B41" s="18" t="s">
        <v>177</v>
      </c>
      <c r="C41" s="18" t="s">
        <v>221</v>
      </c>
      <c r="D41" s="19">
        <v>46035.208518518513</v>
      </c>
      <c r="E41" s="19"/>
      <c r="F41" s="18" t="s">
        <v>69</v>
      </c>
      <c r="G41" s="18" t="s">
        <v>70</v>
      </c>
      <c r="H41" s="20"/>
      <c r="I41" s="20"/>
      <c r="J41" s="21" t="s">
        <v>73</v>
      </c>
      <c r="K41" s="20" t="s">
        <v>74</v>
      </c>
      <c r="L41" s="20">
        <f t="shared" si="14"/>
        <v>31.94</v>
      </c>
      <c r="M41" s="22">
        <v>67000000</v>
      </c>
      <c r="N41" s="22"/>
      <c r="O41" s="22"/>
      <c r="P41" s="22"/>
      <c r="Q41" s="22"/>
      <c r="R41" s="22"/>
      <c r="S41" s="22"/>
      <c r="T41" s="22"/>
      <c r="U41" s="22"/>
      <c r="V41" s="22"/>
      <c r="W41" s="22">
        <v>67000000</v>
      </c>
      <c r="X41" s="22"/>
      <c r="Y41" s="22"/>
      <c r="Z41" s="22"/>
      <c r="AA41" s="22"/>
      <c r="AB41" s="22"/>
      <c r="AC41" s="22"/>
      <c r="AE41" s="22"/>
      <c r="AF41" s="23">
        <f t="shared" si="15"/>
        <v>134000000</v>
      </c>
      <c r="AI41" s="22"/>
      <c r="AJ41" s="22">
        <v>3720695</v>
      </c>
      <c r="AK41" s="22">
        <v>1066400</v>
      </c>
      <c r="AL41" s="22">
        <v>1876000</v>
      </c>
      <c r="AM41" s="22">
        <v>938000</v>
      </c>
      <c r="AN41" s="22">
        <v>1407000</v>
      </c>
      <c r="AO41" s="23">
        <f t="shared" si="16"/>
        <v>9008095</v>
      </c>
      <c r="AR41" s="22"/>
      <c r="AS41" s="22"/>
      <c r="AT41" s="22"/>
      <c r="AU41" s="23">
        <f t="shared" si="17"/>
        <v>0</v>
      </c>
      <c r="AV41" s="25">
        <f t="shared" si="18"/>
        <v>9008095</v>
      </c>
      <c r="AX41" s="22"/>
      <c r="AY41" s="22"/>
      <c r="AZ41" s="22">
        <v>102500</v>
      </c>
      <c r="BD41" s="26">
        <f t="shared" si="19"/>
        <v>102500</v>
      </c>
      <c r="BG41" s="22">
        <f t="shared" si="20"/>
        <v>143683037.38</v>
      </c>
      <c r="BH41" s="22">
        <f t="shared" si="21"/>
        <v>320000</v>
      </c>
      <c r="BI41" s="22">
        <f t="shared" si="22"/>
        <v>572442.38</v>
      </c>
      <c r="BJ41" s="22">
        <f t="shared" si="23"/>
        <v>60800</v>
      </c>
      <c r="BK41" s="22">
        <f t="shared" si="24"/>
        <v>144063837.38</v>
      </c>
      <c r="BL41" s="27">
        <v>4000</v>
      </c>
      <c r="BM41" s="28">
        <f t="shared" si="25"/>
        <v>35920.76</v>
      </c>
      <c r="BN41" s="28">
        <v>80</v>
      </c>
      <c r="BO41" s="28">
        <f t="shared" si="26"/>
        <v>15.2</v>
      </c>
      <c r="BP41" s="28">
        <f t="shared" si="27"/>
        <v>36015.96</v>
      </c>
    </row>
    <row r="42" spans="1:68" x14ac:dyDescent="0.3">
      <c r="A42" s="18" t="s">
        <v>222</v>
      </c>
      <c r="B42" s="18" t="s">
        <v>223</v>
      </c>
      <c r="C42" s="18" t="s">
        <v>224</v>
      </c>
      <c r="D42" s="19">
        <v>45832.208518518513</v>
      </c>
      <c r="E42" s="19"/>
      <c r="F42" s="18" t="s">
        <v>69</v>
      </c>
      <c r="G42" s="18" t="s">
        <v>70</v>
      </c>
      <c r="H42" s="20" t="s">
        <v>93</v>
      </c>
      <c r="I42" s="20" t="s">
        <v>94</v>
      </c>
      <c r="J42" s="21" t="s">
        <v>73</v>
      </c>
      <c r="K42" s="20" t="s">
        <v>74</v>
      </c>
      <c r="L42" s="20">
        <f t="shared" si="14"/>
        <v>31.94</v>
      </c>
      <c r="M42" s="22">
        <v>3500000</v>
      </c>
      <c r="N42" s="22"/>
      <c r="O42" s="22"/>
      <c r="P42" s="22"/>
      <c r="Q42" s="22"/>
      <c r="R42" s="22">
        <v>229091</v>
      </c>
      <c r="S42" s="22"/>
      <c r="T42" s="22"/>
      <c r="U42" s="22"/>
      <c r="V42" s="22"/>
      <c r="W42" s="22">
        <v>3978186</v>
      </c>
      <c r="X42" s="22"/>
      <c r="Y42" s="22"/>
      <c r="Z42" s="22">
        <v>249095</v>
      </c>
      <c r="AA42" s="22"/>
      <c r="AB42" s="22"/>
      <c r="AC42" s="22"/>
      <c r="AE42" s="22"/>
      <c r="AF42" s="23">
        <f t="shared" si="15"/>
        <v>7956372</v>
      </c>
      <c r="AI42" s="22">
        <v>447536</v>
      </c>
      <c r="AJ42" s="22"/>
      <c r="AK42" s="22">
        <v>19500</v>
      </c>
      <c r="AL42" s="22">
        <v>149200</v>
      </c>
      <c r="AM42" s="22"/>
      <c r="AN42" s="22"/>
      <c r="AO42" s="23">
        <f t="shared" si="16"/>
        <v>616236</v>
      </c>
      <c r="AR42" s="22">
        <v>331515</v>
      </c>
      <c r="AS42" s="22">
        <v>331515</v>
      </c>
      <c r="AT42" s="22">
        <v>9946</v>
      </c>
      <c r="AU42" s="23">
        <f t="shared" si="17"/>
        <v>672976</v>
      </c>
      <c r="AV42" s="25">
        <f t="shared" si="18"/>
        <v>1289212</v>
      </c>
      <c r="AX42" s="22"/>
      <c r="AY42" s="22"/>
      <c r="AZ42" s="22"/>
      <c r="BD42" s="26">
        <f t="shared" si="19"/>
        <v>0</v>
      </c>
      <c r="BG42" s="22">
        <f t="shared" si="20"/>
        <v>9282566.3359999992</v>
      </c>
      <c r="BH42" s="22">
        <f t="shared" si="21"/>
        <v>320000</v>
      </c>
      <c r="BI42" s="22">
        <f t="shared" si="22"/>
        <v>36982.336000000003</v>
      </c>
      <c r="BJ42" s="22">
        <f t="shared" si="23"/>
        <v>60800</v>
      </c>
      <c r="BK42" s="22">
        <f t="shared" si="24"/>
        <v>9663366.3359999992</v>
      </c>
      <c r="BL42" s="27">
        <v>4000</v>
      </c>
      <c r="BM42" s="28">
        <f t="shared" si="25"/>
        <v>2320.64</v>
      </c>
      <c r="BN42" s="28">
        <v>80</v>
      </c>
      <c r="BO42" s="28">
        <f t="shared" si="26"/>
        <v>15.2</v>
      </c>
      <c r="BP42" s="28">
        <f t="shared" si="27"/>
        <v>2415.8399999999997</v>
      </c>
    </row>
    <row r="43" spans="1:68" x14ac:dyDescent="0.3">
      <c r="A43" s="18" t="s">
        <v>225</v>
      </c>
      <c r="B43" s="18" t="s">
        <v>177</v>
      </c>
      <c r="C43" s="18" t="s">
        <v>226</v>
      </c>
      <c r="D43" s="19">
        <v>46037.208518518513</v>
      </c>
      <c r="E43" s="19"/>
      <c r="F43" s="18" t="s">
        <v>69</v>
      </c>
      <c r="G43" s="18" t="s">
        <v>70</v>
      </c>
      <c r="H43" s="20"/>
      <c r="I43" s="20"/>
      <c r="J43" s="21" t="s">
        <v>73</v>
      </c>
      <c r="K43" s="20" t="s">
        <v>74</v>
      </c>
      <c r="L43" s="20">
        <f t="shared" si="14"/>
        <v>31.94</v>
      </c>
      <c r="M43" s="22">
        <v>5300000</v>
      </c>
      <c r="N43" s="22"/>
      <c r="O43" s="22"/>
      <c r="P43" s="22"/>
      <c r="Q43" s="22"/>
      <c r="R43" s="22"/>
      <c r="S43" s="22">
        <v>2561299</v>
      </c>
      <c r="T43" s="22"/>
      <c r="U43" s="22"/>
      <c r="V43" s="22"/>
      <c r="W43" s="22">
        <v>7861299</v>
      </c>
      <c r="X43" s="22"/>
      <c r="Y43" s="22"/>
      <c r="Z43" s="22"/>
      <c r="AA43" s="22"/>
      <c r="AB43" s="22"/>
      <c r="AC43" s="22"/>
      <c r="AE43" s="22"/>
      <c r="AF43" s="23">
        <f t="shared" si="15"/>
        <v>15722598</v>
      </c>
      <c r="AI43" s="22">
        <v>943448</v>
      </c>
      <c r="AJ43" s="22"/>
      <c r="AK43" s="22">
        <v>191600</v>
      </c>
      <c r="AL43" s="22">
        <v>314500</v>
      </c>
      <c r="AM43" s="22"/>
      <c r="AN43" s="22"/>
      <c r="AO43" s="23">
        <f t="shared" si="16"/>
        <v>1449548</v>
      </c>
      <c r="AR43" s="22">
        <v>655108</v>
      </c>
      <c r="AS43" s="22">
        <v>655108</v>
      </c>
      <c r="AT43" s="22">
        <v>12401</v>
      </c>
      <c r="AU43" s="23">
        <f t="shared" si="17"/>
        <v>1322617</v>
      </c>
      <c r="AV43" s="25">
        <f t="shared" si="18"/>
        <v>2772165</v>
      </c>
      <c r="AX43" s="22"/>
      <c r="AY43" s="22"/>
      <c r="AZ43" s="22">
        <v>132000</v>
      </c>
      <c r="BD43" s="26">
        <f t="shared" si="19"/>
        <v>132000</v>
      </c>
      <c r="BG43" s="22">
        <f t="shared" si="20"/>
        <v>18701270.052000001</v>
      </c>
      <c r="BH43" s="22">
        <f t="shared" si="21"/>
        <v>320000</v>
      </c>
      <c r="BI43" s="22">
        <f t="shared" si="22"/>
        <v>74507.051999999996</v>
      </c>
      <c r="BJ43" s="22">
        <f t="shared" si="23"/>
        <v>60800</v>
      </c>
      <c r="BK43" s="22">
        <f t="shared" si="24"/>
        <v>19082070.052000001</v>
      </c>
      <c r="BL43" s="27">
        <v>4000</v>
      </c>
      <c r="BM43" s="28">
        <f t="shared" si="25"/>
        <v>4675.32</v>
      </c>
      <c r="BN43" s="28">
        <v>80</v>
      </c>
      <c r="BO43" s="28">
        <f t="shared" si="26"/>
        <v>15.2</v>
      </c>
      <c r="BP43" s="28">
        <f t="shared" si="27"/>
        <v>4770.5199999999995</v>
      </c>
    </row>
    <row r="44" spans="1:68" x14ac:dyDescent="0.3">
      <c r="A44" s="18" t="s">
        <v>227</v>
      </c>
      <c r="B44" s="18" t="s">
        <v>228</v>
      </c>
      <c r="C44" s="18" t="s">
        <v>229</v>
      </c>
      <c r="D44" s="19">
        <v>45915.208518518513</v>
      </c>
      <c r="E44" s="19"/>
      <c r="F44" s="18" t="s">
        <v>69</v>
      </c>
      <c r="G44" s="18" t="s">
        <v>70</v>
      </c>
      <c r="H44" s="20" t="s">
        <v>230</v>
      </c>
      <c r="I44" s="20" t="s">
        <v>231</v>
      </c>
      <c r="J44" s="21" t="s">
        <v>73</v>
      </c>
      <c r="K44" s="20" t="s">
        <v>74</v>
      </c>
      <c r="L44" s="20">
        <f t="shared" si="14"/>
        <v>31.94</v>
      </c>
      <c r="M44" s="22">
        <v>4800000</v>
      </c>
      <c r="N44" s="22"/>
      <c r="O44" s="22"/>
      <c r="P44" s="22"/>
      <c r="Q44" s="22"/>
      <c r="R44" s="22"/>
      <c r="S44" s="22"/>
      <c r="T44" s="22"/>
      <c r="U44" s="22"/>
      <c r="V44" s="22"/>
      <c r="W44" s="22">
        <v>4800000</v>
      </c>
      <c r="X44" s="22"/>
      <c r="Y44" s="22"/>
      <c r="Z44" s="22"/>
      <c r="AA44" s="22"/>
      <c r="AB44" s="22"/>
      <c r="AC44" s="22"/>
      <c r="AE44" s="22"/>
      <c r="AF44" s="23">
        <f t="shared" si="15"/>
        <v>9600000</v>
      </c>
      <c r="AI44" s="22">
        <v>576000</v>
      </c>
      <c r="AJ44" s="22"/>
      <c r="AK44" s="22">
        <v>117000</v>
      </c>
      <c r="AL44" s="22">
        <v>192000</v>
      </c>
      <c r="AM44" s="22"/>
      <c r="AN44" s="22"/>
      <c r="AO44" s="23">
        <f t="shared" si="16"/>
        <v>885000</v>
      </c>
      <c r="AR44" s="22">
        <v>400000</v>
      </c>
      <c r="AS44" s="22">
        <v>400000</v>
      </c>
      <c r="AT44" s="22">
        <v>12000</v>
      </c>
      <c r="AU44" s="23">
        <f t="shared" si="17"/>
        <v>812000</v>
      </c>
      <c r="AV44" s="25">
        <f t="shared" si="18"/>
        <v>1697000</v>
      </c>
      <c r="AX44" s="22"/>
      <c r="AY44" s="22"/>
      <c r="AZ44" s="22"/>
      <c r="BD44" s="26">
        <f t="shared" si="19"/>
        <v>0</v>
      </c>
      <c r="BG44" s="22">
        <f t="shared" si="20"/>
        <v>11342188</v>
      </c>
      <c r="BH44" s="22">
        <f t="shared" si="21"/>
        <v>320000</v>
      </c>
      <c r="BI44" s="22">
        <f t="shared" si="22"/>
        <v>45188</v>
      </c>
      <c r="BJ44" s="22">
        <f t="shared" si="23"/>
        <v>60800</v>
      </c>
      <c r="BK44" s="22">
        <f t="shared" si="24"/>
        <v>11722988</v>
      </c>
      <c r="BL44" s="27">
        <v>4000</v>
      </c>
      <c r="BM44" s="28">
        <f t="shared" si="25"/>
        <v>2835.55</v>
      </c>
      <c r="BN44" s="28">
        <v>80</v>
      </c>
      <c r="BO44" s="28">
        <f t="shared" si="26"/>
        <v>15.2</v>
      </c>
      <c r="BP44" s="28">
        <f t="shared" si="27"/>
        <v>2930.75</v>
      </c>
    </row>
    <row r="45" spans="1:68" x14ac:dyDescent="0.3">
      <c r="A45" s="18" t="s">
        <v>232</v>
      </c>
      <c r="B45" s="18" t="s">
        <v>233</v>
      </c>
      <c r="C45" s="18" t="s">
        <v>234</v>
      </c>
      <c r="D45" s="19">
        <v>45915.208518518513</v>
      </c>
      <c r="E45" s="19"/>
      <c r="F45" s="18" t="s">
        <v>69</v>
      </c>
      <c r="G45" s="18" t="s">
        <v>70</v>
      </c>
      <c r="H45" s="20" t="s">
        <v>93</v>
      </c>
      <c r="I45" s="20" t="s">
        <v>94</v>
      </c>
      <c r="J45" s="21" t="s">
        <v>73</v>
      </c>
      <c r="K45" s="20" t="s">
        <v>74</v>
      </c>
      <c r="L45" s="20">
        <f t="shared" si="14"/>
        <v>31.94</v>
      </c>
      <c r="M45" s="22">
        <v>4500000</v>
      </c>
      <c r="N45" s="22"/>
      <c r="O45" s="22"/>
      <c r="P45" s="22"/>
      <c r="Q45" s="22"/>
      <c r="R45" s="22"/>
      <c r="S45" s="22"/>
      <c r="T45" s="22"/>
      <c r="U45" s="22"/>
      <c r="V45" s="22"/>
      <c r="W45" s="22">
        <v>4500000</v>
      </c>
      <c r="X45" s="22"/>
      <c r="Y45" s="22"/>
      <c r="Z45" s="22"/>
      <c r="AA45" s="22"/>
      <c r="AB45" s="22"/>
      <c r="AC45" s="22"/>
      <c r="AE45" s="22"/>
      <c r="AF45" s="23">
        <f t="shared" si="15"/>
        <v>9000000</v>
      </c>
      <c r="AI45" s="22">
        <v>540000</v>
      </c>
      <c r="AJ45" s="22"/>
      <c r="AK45" s="22">
        <v>23500</v>
      </c>
      <c r="AL45" s="22">
        <v>180000</v>
      </c>
      <c r="AM45" s="22"/>
      <c r="AN45" s="22"/>
      <c r="AO45" s="23">
        <f t="shared" si="16"/>
        <v>743500</v>
      </c>
      <c r="AR45" s="22">
        <v>375000</v>
      </c>
      <c r="AS45" s="22">
        <v>375000</v>
      </c>
      <c r="AT45" s="22">
        <v>11250</v>
      </c>
      <c r="AU45" s="23">
        <f t="shared" si="17"/>
        <v>761250</v>
      </c>
      <c r="AV45" s="25">
        <f t="shared" si="18"/>
        <v>1504750</v>
      </c>
      <c r="AX45" s="22"/>
      <c r="AY45" s="22"/>
      <c r="AZ45" s="22"/>
      <c r="BD45" s="26">
        <f t="shared" si="19"/>
        <v>0</v>
      </c>
      <c r="BG45" s="22">
        <f t="shared" si="20"/>
        <v>10546769</v>
      </c>
      <c r="BH45" s="22">
        <f t="shared" si="21"/>
        <v>320000</v>
      </c>
      <c r="BI45" s="22">
        <f t="shared" si="22"/>
        <v>42019</v>
      </c>
      <c r="BJ45" s="22">
        <f t="shared" si="23"/>
        <v>60800</v>
      </c>
      <c r="BK45" s="22">
        <f t="shared" si="24"/>
        <v>10927569</v>
      </c>
      <c r="BL45" s="27">
        <v>4000</v>
      </c>
      <c r="BM45" s="28">
        <f t="shared" si="25"/>
        <v>2636.69</v>
      </c>
      <c r="BN45" s="28">
        <v>80</v>
      </c>
      <c r="BO45" s="28">
        <f t="shared" si="26"/>
        <v>15.2</v>
      </c>
      <c r="BP45" s="28">
        <f t="shared" si="27"/>
        <v>2731.89</v>
      </c>
    </row>
    <row r="46" spans="1:68" x14ac:dyDescent="0.3">
      <c r="A46" s="18" t="s">
        <v>235</v>
      </c>
      <c r="B46" s="18" t="s">
        <v>236</v>
      </c>
      <c r="C46" s="18" t="s">
        <v>237</v>
      </c>
      <c r="D46" s="19">
        <v>45356.208518518513</v>
      </c>
      <c r="E46" s="19"/>
      <c r="F46" s="18" t="s">
        <v>69</v>
      </c>
      <c r="G46" s="18" t="s">
        <v>70</v>
      </c>
      <c r="H46" s="20" t="s">
        <v>238</v>
      </c>
      <c r="I46" s="20" t="s">
        <v>239</v>
      </c>
      <c r="J46" s="21" t="s">
        <v>73</v>
      </c>
      <c r="K46" s="20" t="s">
        <v>74</v>
      </c>
      <c r="L46" s="20">
        <f t="shared" si="14"/>
        <v>31.94</v>
      </c>
      <c r="M46" s="22">
        <v>7800000</v>
      </c>
      <c r="N46" s="22"/>
      <c r="O46" s="22"/>
      <c r="P46" s="22"/>
      <c r="Q46" s="22"/>
      <c r="R46" s="22"/>
      <c r="S46" s="22"/>
      <c r="T46" s="22"/>
      <c r="U46" s="22"/>
      <c r="V46" s="22"/>
      <c r="W46" s="22">
        <v>7800000</v>
      </c>
      <c r="X46" s="22"/>
      <c r="Y46" s="22"/>
      <c r="Z46" s="22"/>
      <c r="AA46" s="22"/>
      <c r="AB46" s="22"/>
      <c r="AC46" s="22"/>
      <c r="AE46" s="22"/>
      <c r="AF46" s="23">
        <f t="shared" si="15"/>
        <v>15600000</v>
      </c>
      <c r="AI46" s="22">
        <v>936000</v>
      </c>
      <c r="AJ46" s="22"/>
      <c r="AK46" s="22">
        <v>190100</v>
      </c>
      <c r="AL46" s="22">
        <v>312000</v>
      </c>
      <c r="AM46" s="22"/>
      <c r="AN46" s="22"/>
      <c r="AO46" s="23">
        <f t="shared" si="16"/>
        <v>1438100</v>
      </c>
      <c r="AR46" s="22">
        <v>650000</v>
      </c>
      <c r="AS46" s="22">
        <v>650000</v>
      </c>
      <c r="AT46" s="22">
        <v>19500</v>
      </c>
      <c r="AU46" s="23">
        <f t="shared" si="17"/>
        <v>1319500</v>
      </c>
      <c r="AV46" s="25">
        <f t="shared" si="18"/>
        <v>2757600</v>
      </c>
      <c r="AX46" s="22">
        <v>54797</v>
      </c>
      <c r="AY46" s="22"/>
      <c r="AZ46" s="22"/>
      <c r="BD46" s="26">
        <f t="shared" si="19"/>
        <v>54797</v>
      </c>
      <c r="BG46" s="22">
        <f t="shared" si="20"/>
        <v>18486046.588</v>
      </c>
      <c r="BH46" s="22">
        <f t="shared" si="21"/>
        <v>320000</v>
      </c>
      <c r="BI46" s="22">
        <f t="shared" si="22"/>
        <v>73649.588000000003</v>
      </c>
      <c r="BJ46" s="22">
        <f t="shared" si="23"/>
        <v>60800</v>
      </c>
      <c r="BK46" s="22">
        <f t="shared" si="24"/>
        <v>18866846.588</v>
      </c>
      <c r="BL46" s="27">
        <v>4000</v>
      </c>
      <c r="BM46" s="28">
        <f t="shared" si="25"/>
        <v>4621.51</v>
      </c>
      <c r="BN46" s="28">
        <v>80</v>
      </c>
      <c r="BO46" s="28">
        <f t="shared" si="26"/>
        <v>15.2</v>
      </c>
      <c r="BP46" s="28">
        <f t="shared" si="27"/>
        <v>4716.71</v>
      </c>
    </row>
    <row r="47" spans="1:68" x14ac:dyDescent="0.3">
      <c r="A47" s="18" t="s">
        <v>240</v>
      </c>
      <c r="B47" s="18" t="s">
        <v>241</v>
      </c>
      <c r="C47" s="18" t="s">
        <v>242</v>
      </c>
      <c r="D47" s="19">
        <v>45775.208518518513</v>
      </c>
      <c r="E47" s="19"/>
      <c r="F47" s="18" t="s">
        <v>69</v>
      </c>
      <c r="G47" s="18" t="s">
        <v>70</v>
      </c>
      <c r="H47" s="20" t="s">
        <v>71</v>
      </c>
      <c r="I47" s="20" t="s">
        <v>72</v>
      </c>
      <c r="J47" s="21" t="s">
        <v>73</v>
      </c>
      <c r="K47" s="20" t="s">
        <v>74</v>
      </c>
      <c r="L47" s="20">
        <f t="shared" si="14"/>
        <v>31.94</v>
      </c>
      <c r="M47" s="22">
        <v>10961976</v>
      </c>
      <c r="N47" s="22"/>
      <c r="O47" s="22"/>
      <c r="P47" s="22"/>
      <c r="Q47" s="22"/>
      <c r="R47" s="22"/>
      <c r="S47" s="22">
        <v>3049969</v>
      </c>
      <c r="T47" s="22"/>
      <c r="U47" s="22"/>
      <c r="V47" s="22"/>
      <c r="W47" s="22">
        <v>14011945</v>
      </c>
      <c r="X47" s="22"/>
      <c r="Y47" s="22"/>
      <c r="Z47" s="22"/>
      <c r="AA47" s="22"/>
      <c r="AB47" s="22"/>
      <c r="AC47" s="22"/>
      <c r="AE47" s="22"/>
      <c r="AF47" s="23">
        <f t="shared" si="15"/>
        <v>28023890</v>
      </c>
      <c r="AI47" s="22">
        <v>1681522</v>
      </c>
      <c r="AJ47" s="22"/>
      <c r="AK47" s="22">
        <v>341400</v>
      </c>
      <c r="AL47" s="22">
        <v>560500</v>
      </c>
      <c r="AM47" s="22"/>
      <c r="AN47" s="22"/>
      <c r="AO47" s="23">
        <f t="shared" si="16"/>
        <v>2583422</v>
      </c>
      <c r="AR47" s="22">
        <v>1167662</v>
      </c>
      <c r="AS47" s="22">
        <v>1167662</v>
      </c>
      <c r="AT47" s="22">
        <v>32488</v>
      </c>
      <c r="AU47" s="23">
        <f t="shared" si="17"/>
        <v>2367812</v>
      </c>
      <c r="AV47" s="25">
        <f t="shared" si="18"/>
        <v>4951234</v>
      </c>
      <c r="AX47" s="22">
        <v>1096470</v>
      </c>
      <c r="AY47" s="22"/>
      <c r="AZ47" s="22"/>
      <c r="BD47" s="26">
        <f t="shared" si="19"/>
        <v>1096470</v>
      </c>
      <c r="BG47" s="22">
        <f t="shared" si="20"/>
        <v>34207880.376000002</v>
      </c>
      <c r="BH47" s="22">
        <f t="shared" si="21"/>
        <v>320000</v>
      </c>
      <c r="BI47" s="22">
        <f t="shared" si="22"/>
        <v>136286.37599999999</v>
      </c>
      <c r="BJ47" s="22">
        <f t="shared" si="23"/>
        <v>60800</v>
      </c>
      <c r="BK47" s="22">
        <f t="shared" si="24"/>
        <v>34588680.376000002</v>
      </c>
      <c r="BL47" s="27">
        <v>4000</v>
      </c>
      <c r="BM47" s="28">
        <f t="shared" si="25"/>
        <v>8551.9699999999993</v>
      </c>
      <c r="BN47" s="28">
        <v>80</v>
      </c>
      <c r="BO47" s="28">
        <f t="shared" si="26"/>
        <v>15.2</v>
      </c>
      <c r="BP47" s="28">
        <f t="shared" si="27"/>
        <v>8647.17</v>
      </c>
    </row>
    <row r="48" spans="1:68" x14ac:dyDescent="0.3">
      <c r="A48" s="18" t="s">
        <v>243</v>
      </c>
      <c r="B48" s="18" t="s">
        <v>244</v>
      </c>
      <c r="C48" s="18" t="s">
        <v>245</v>
      </c>
      <c r="D48" s="19">
        <v>45748.208518518513</v>
      </c>
      <c r="E48" s="19"/>
      <c r="F48" s="18" t="s">
        <v>69</v>
      </c>
      <c r="G48" s="18" t="s">
        <v>70</v>
      </c>
      <c r="H48" s="20" t="s">
        <v>134</v>
      </c>
      <c r="I48" s="20" t="s">
        <v>135</v>
      </c>
      <c r="J48" s="21" t="s">
        <v>73</v>
      </c>
      <c r="K48" s="20" t="s">
        <v>74</v>
      </c>
      <c r="L48" s="20">
        <f t="shared" si="14"/>
        <v>31.94</v>
      </c>
      <c r="M48" s="22">
        <v>4724191</v>
      </c>
      <c r="N48" s="22"/>
      <c r="O48" s="22"/>
      <c r="P48" s="22"/>
      <c r="Q48" s="22"/>
      <c r="R48" s="22"/>
      <c r="S48" s="22"/>
      <c r="T48" s="22"/>
      <c r="U48" s="22"/>
      <c r="V48" s="22">
        <v>431915</v>
      </c>
      <c r="W48" s="22">
        <v>5156106</v>
      </c>
      <c r="X48" s="22"/>
      <c r="Y48" s="22"/>
      <c r="Z48" s="22"/>
      <c r="AA48" s="22"/>
      <c r="AB48" s="22"/>
      <c r="AC48" s="22"/>
      <c r="AE48" s="22"/>
      <c r="AF48" s="23">
        <f t="shared" si="15"/>
        <v>10312212</v>
      </c>
      <c r="AI48" s="22">
        <v>566932</v>
      </c>
      <c r="AJ48" s="22"/>
      <c r="AK48" s="22">
        <v>115100</v>
      </c>
      <c r="AL48" s="22">
        <v>189000</v>
      </c>
      <c r="AM48" s="22"/>
      <c r="AN48" s="22"/>
      <c r="AO48" s="23">
        <f t="shared" si="16"/>
        <v>871032</v>
      </c>
      <c r="AR48" s="22">
        <v>393682</v>
      </c>
      <c r="AS48" s="22">
        <v>393682</v>
      </c>
      <c r="AT48" s="22">
        <v>11810</v>
      </c>
      <c r="AU48" s="23">
        <f t="shared" si="17"/>
        <v>799174</v>
      </c>
      <c r="AV48" s="25">
        <f t="shared" si="18"/>
        <v>1670206</v>
      </c>
      <c r="AX48" s="22"/>
      <c r="AY48" s="22">
        <v>432545</v>
      </c>
      <c r="AZ48" s="22"/>
      <c r="BD48" s="26">
        <f t="shared" si="19"/>
        <v>432545</v>
      </c>
      <c r="BG48" s="22">
        <f t="shared" si="20"/>
        <v>12464622.852</v>
      </c>
      <c r="BH48" s="22">
        <f t="shared" si="21"/>
        <v>320000</v>
      </c>
      <c r="BI48" s="22">
        <f t="shared" si="22"/>
        <v>49659.851999999999</v>
      </c>
      <c r="BJ48" s="22">
        <f t="shared" si="23"/>
        <v>60800</v>
      </c>
      <c r="BK48" s="22">
        <f t="shared" si="24"/>
        <v>12845422.852</v>
      </c>
      <c r="BL48" s="27">
        <v>4000</v>
      </c>
      <c r="BM48" s="28">
        <f t="shared" si="25"/>
        <v>3116.16</v>
      </c>
      <c r="BN48" s="28">
        <v>80</v>
      </c>
      <c r="BO48" s="28">
        <f t="shared" si="26"/>
        <v>15.2</v>
      </c>
      <c r="BP48" s="28">
        <f t="shared" si="27"/>
        <v>3211.3599999999997</v>
      </c>
    </row>
    <row r="49" spans="1:68" x14ac:dyDescent="0.3">
      <c r="A49" s="18" t="s">
        <v>246</v>
      </c>
      <c r="B49" s="18" t="s">
        <v>247</v>
      </c>
      <c r="C49" s="18" t="s">
        <v>248</v>
      </c>
      <c r="D49" s="19">
        <v>45796.208518518513</v>
      </c>
      <c r="E49" s="19"/>
      <c r="F49" s="18" t="s">
        <v>69</v>
      </c>
      <c r="G49" s="18" t="s">
        <v>70</v>
      </c>
      <c r="H49" s="20" t="s">
        <v>182</v>
      </c>
      <c r="I49" s="20" t="s">
        <v>183</v>
      </c>
      <c r="J49" s="21" t="s">
        <v>73</v>
      </c>
      <c r="K49" s="20" t="s">
        <v>74</v>
      </c>
      <c r="L49" s="20">
        <f t="shared" si="14"/>
        <v>31.94</v>
      </c>
      <c r="M49" s="22">
        <v>3000000</v>
      </c>
      <c r="N49" s="22"/>
      <c r="O49" s="22"/>
      <c r="P49" s="22"/>
      <c r="Q49" s="22"/>
      <c r="R49" s="22"/>
      <c r="S49" s="22"/>
      <c r="T49" s="22"/>
      <c r="U49" s="22"/>
      <c r="V49" s="22"/>
      <c r="W49" s="22">
        <v>3315520</v>
      </c>
      <c r="X49" s="22"/>
      <c r="Y49" s="22"/>
      <c r="Z49" s="22">
        <v>315520</v>
      </c>
      <c r="AA49" s="22"/>
      <c r="AB49" s="22"/>
      <c r="AC49" s="22"/>
      <c r="AE49" s="22"/>
      <c r="AF49" s="23">
        <f t="shared" si="15"/>
        <v>6631040</v>
      </c>
      <c r="AI49" s="22">
        <v>360000</v>
      </c>
      <c r="AJ49" s="22"/>
      <c r="AK49" s="22">
        <v>73100</v>
      </c>
      <c r="AL49" s="22">
        <v>120000</v>
      </c>
      <c r="AM49" s="22"/>
      <c r="AN49" s="22"/>
      <c r="AO49" s="23">
        <f t="shared" si="16"/>
        <v>553100</v>
      </c>
      <c r="AR49" s="22">
        <v>270758</v>
      </c>
      <c r="AS49" s="22">
        <v>270758</v>
      </c>
      <c r="AT49" s="22">
        <v>8122</v>
      </c>
      <c r="AU49" s="23">
        <f t="shared" si="17"/>
        <v>549638</v>
      </c>
      <c r="AV49" s="25">
        <f t="shared" si="18"/>
        <v>1102738</v>
      </c>
      <c r="AX49" s="22">
        <v>350000</v>
      </c>
      <c r="AY49" s="22"/>
      <c r="AZ49" s="22"/>
      <c r="BD49" s="26">
        <f t="shared" si="19"/>
        <v>350000</v>
      </c>
      <c r="BG49" s="22">
        <f t="shared" si="20"/>
        <v>8116113.1119999997</v>
      </c>
      <c r="BH49" s="22">
        <f t="shared" si="21"/>
        <v>320000</v>
      </c>
      <c r="BI49" s="22">
        <f t="shared" si="22"/>
        <v>32335.112000000001</v>
      </c>
      <c r="BJ49" s="22">
        <f t="shared" si="23"/>
        <v>60800</v>
      </c>
      <c r="BK49" s="22">
        <f t="shared" si="24"/>
        <v>8496913.1119999997</v>
      </c>
      <c r="BL49" s="27">
        <v>4000</v>
      </c>
      <c r="BM49" s="28">
        <f t="shared" si="25"/>
        <v>2029.03</v>
      </c>
      <c r="BN49" s="28">
        <v>80</v>
      </c>
      <c r="BO49" s="28">
        <f t="shared" si="26"/>
        <v>15.2</v>
      </c>
      <c r="BP49" s="28">
        <f t="shared" si="27"/>
        <v>2124.2299999999996</v>
      </c>
    </row>
    <row r="50" spans="1:68" x14ac:dyDescent="0.3">
      <c r="A50" s="18" t="s">
        <v>249</v>
      </c>
      <c r="B50" s="18" t="s">
        <v>250</v>
      </c>
      <c r="C50" s="18" t="s">
        <v>251</v>
      </c>
      <c r="D50" s="19">
        <v>45986.208518518513</v>
      </c>
      <c r="E50" s="19"/>
      <c r="F50" s="18" t="s">
        <v>69</v>
      </c>
      <c r="G50" s="18" t="s">
        <v>70</v>
      </c>
      <c r="H50" s="20" t="s">
        <v>93</v>
      </c>
      <c r="I50" s="20" t="s">
        <v>94</v>
      </c>
      <c r="J50" s="21" t="s">
        <v>73</v>
      </c>
      <c r="K50" s="20" t="s">
        <v>74</v>
      </c>
      <c r="L50" s="20">
        <f t="shared" si="14"/>
        <v>31.94</v>
      </c>
      <c r="M50" s="22">
        <v>4500000</v>
      </c>
      <c r="N50" s="22"/>
      <c r="O50" s="22"/>
      <c r="P50" s="22"/>
      <c r="Q50" s="22"/>
      <c r="R50" s="22">
        <v>294545</v>
      </c>
      <c r="S50" s="22"/>
      <c r="T50" s="22"/>
      <c r="U50" s="22"/>
      <c r="V50" s="22"/>
      <c r="W50" s="22">
        <v>4794545</v>
      </c>
      <c r="X50" s="22"/>
      <c r="Y50" s="22"/>
      <c r="Z50" s="22"/>
      <c r="AA50" s="22"/>
      <c r="AB50" s="22"/>
      <c r="AC50" s="22"/>
      <c r="AE50" s="22"/>
      <c r="AF50" s="23">
        <f t="shared" si="15"/>
        <v>9589090</v>
      </c>
      <c r="AI50" s="22">
        <v>575418</v>
      </c>
      <c r="AJ50" s="22"/>
      <c r="AK50" s="22">
        <v>25100</v>
      </c>
      <c r="AL50" s="22">
        <v>191800</v>
      </c>
      <c r="AM50" s="22"/>
      <c r="AN50" s="22"/>
      <c r="AO50" s="23">
        <f t="shared" si="16"/>
        <v>792318</v>
      </c>
      <c r="AR50" s="22">
        <v>399546</v>
      </c>
      <c r="AS50" s="22">
        <v>399546</v>
      </c>
      <c r="AT50" s="22">
        <v>11987</v>
      </c>
      <c r="AU50" s="23">
        <f t="shared" si="17"/>
        <v>811079</v>
      </c>
      <c r="AV50" s="25">
        <f t="shared" si="18"/>
        <v>1603397</v>
      </c>
      <c r="AX50" s="22"/>
      <c r="AY50" s="22"/>
      <c r="AZ50" s="22"/>
      <c r="BD50" s="26">
        <f t="shared" si="19"/>
        <v>0</v>
      </c>
      <c r="BG50" s="22">
        <f t="shared" si="20"/>
        <v>11237256.948000001</v>
      </c>
      <c r="BH50" s="22">
        <f t="shared" si="21"/>
        <v>320000</v>
      </c>
      <c r="BI50" s="22">
        <f t="shared" si="22"/>
        <v>44769.948000000004</v>
      </c>
      <c r="BJ50" s="22">
        <f t="shared" si="23"/>
        <v>60800</v>
      </c>
      <c r="BK50" s="22">
        <f t="shared" si="24"/>
        <v>11618056.948000001</v>
      </c>
      <c r="BL50" s="27">
        <v>4000</v>
      </c>
      <c r="BM50" s="28">
        <f t="shared" si="25"/>
        <v>2809.31</v>
      </c>
      <c r="BN50" s="28">
        <v>80</v>
      </c>
      <c r="BO50" s="28">
        <f t="shared" si="26"/>
        <v>15.2</v>
      </c>
      <c r="BP50" s="28">
        <f t="shared" si="27"/>
        <v>2904.5099999999998</v>
      </c>
    </row>
    <row r="51" spans="1:68" x14ac:dyDescent="0.3">
      <c r="A51" s="18" t="s">
        <v>252</v>
      </c>
      <c r="B51" s="18" t="s">
        <v>253</v>
      </c>
      <c r="C51" s="18" t="s">
        <v>254</v>
      </c>
      <c r="D51" s="19">
        <v>45526.208518518513</v>
      </c>
      <c r="E51" s="19"/>
      <c r="F51" s="18" t="s">
        <v>69</v>
      </c>
      <c r="G51" s="18" t="s">
        <v>70</v>
      </c>
      <c r="H51" s="20" t="s">
        <v>111</v>
      </c>
      <c r="I51" s="20" t="s">
        <v>112</v>
      </c>
      <c r="J51" s="21" t="s">
        <v>73</v>
      </c>
      <c r="K51" s="20" t="s">
        <v>74</v>
      </c>
      <c r="L51" s="20">
        <f t="shared" si="14"/>
        <v>31.94</v>
      </c>
      <c r="M51" s="22">
        <v>4921285</v>
      </c>
      <c r="N51" s="22"/>
      <c r="O51" s="22"/>
      <c r="P51" s="22"/>
      <c r="Q51" s="22"/>
      <c r="R51" s="22"/>
      <c r="S51" s="22"/>
      <c r="T51" s="22"/>
      <c r="U51" s="22"/>
      <c r="V51" s="22"/>
      <c r="W51" s="22">
        <v>4921285</v>
      </c>
      <c r="X51" s="22"/>
      <c r="Y51" s="22"/>
      <c r="Z51" s="22"/>
      <c r="AA51" s="22"/>
      <c r="AB51" s="22"/>
      <c r="AC51" s="22"/>
      <c r="AE51" s="22"/>
      <c r="AF51" s="23">
        <f t="shared" si="15"/>
        <v>9842570</v>
      </c>
      <c r="AI51" s="22">
        <v>590519</v>
      </c>
      <c r="AJ51" s="22"/>
      <c r="AK51" s="22">
        <v>23200</v>
      </c>
      <c r="AL51" s="22">
        <v>197000</v>
      </c>
      <c r="AM51" s="22"/>
      <c r="AN51" s="22"/>
      <c r="AO51" s="23">
        <f t="shared" si="16"/>
        <v>810719</v>
      </c>
      <c r="AR51" s="22">
        <v>409960</v>
      </c>
      <c r="AS51" s="22">
        <v>409960</v>
      </c>
      <c r="AT51" s="22">
        <v>12298</v>
      </c>
      <c r="AU51" s="23">
        <f t="shared" si="17"/>
        <v>832218</v>
      </c>
      <c r="AV51" s="25">
        <f t="shared" si="18"/>
        <v>1642937</v>
      </c>
      <c r="AX51" s="22"/>
      <c r="AY51" s="22"/>
      <c r="AZ51" s="22"/>
      <c r="BD51" s="26">
        <f t="shared" si="19"/>
        <v>0</v>
      </c>
      <c r="BG51" s="22">
        <f t="shared" si="20"/>
        <v>11531449.028000001</v>
      </c>
      <c r="BH51" s="22">
        <f t="shared" si="21"/>
        <v>320000</v>
      </c>
      <c r="BI51" s="22">
        <f t="shared" si="22"/>
        <v>45942.027999999998</v>
      </c>
      <c r="BJ51" s="22">
        <f t="shared" si="23"/>
        <v>60800</v>
      </c>
      <c r="BK51" s="22">
        <f t="shared" si="24"/>
        <v>11912249.028000001</v>
      </c>
      <c r="BL51" s="27">
        <v>4000</v>
      </c>
      <c r="BM51" s="28">
        <f t="shared" si="25"/>
        <v>2882.86</v>
      </c>
      <c r="BN51" s="28">
        <v>80</v>
      </c>
      <c r="BO51" s="28">
        <f t="shared" si="26"/>
        <v>15.2</v>
      </c>
      <c r="BP51" s="28">
        <f t="shared" si="27"/>
        <v>2978.06</v>
      </c>
    </row>
    <row r="52" spans="1:68" x14ac:dyDescent="0.3">
      <c r="A52" s="18" t="s">
        <v>255</v>
      </c>
      <c r="B52" s="18" t="s">
        <v>256</v>
      </c>
      <c r="C52" s="18" t="s">
        <v>257</v>
      </c>
      <c r="D52" s="19">
        <v>45904.208518518513</v>
      </c>
      <c r="E52" s="19"/>
      <c r="F52" s="18" t="s">
        <v>69</v>
      </c>
      <c r="G52" s="18" t="s">
        <v>70</v>
      </c>
      <c r="H52" s="20" t="s">
        <v>71</v>
      </c>
      <c r="I52" s="20" t="s">
        <v>72</v>
      </c>
      <c r="J52" s="21" t="s">
        <v>73</v>
      </c>
      <c r="K52" s="20" t="s">
        <v>74</v>
      </c>
      <c r="L52" s="20">
        <f t="shared" si="14"/>
        <v>31.94</v>
      </c>
      <c r="M52" s="22">
        <v>7277355</v>
      </c>
      <c r="N52" s="22"/>
      <c r="O52" s="22"/>
      <c r="P52" s="22"/>
      <c r="Q52" s="22"/>
      <c r="R52" s="22"/>
      <c r="S52" s="22">
        <v>3855842</v>
      </c>
      <c r="T52" s="22"/>
      <c r="U52" s="22"/>
      <c r="V52" s="22"/>
      <c r="W52" s="22">
        <v>11133197</v>
      </c>
      <c r="X52" s="22"/>
      <c r="Y52" s="22"/>
      <c r="Z52" s="22"/>
      <c r="AA52" s="22"/>
      <c r="AB52" s="22"/>
      <c r="AC52" s="22"/>
      <c r="AE52" s="22"/>
      <c r="AF52" s="23">
        <f t="shared" si="15"/>
        <v>22266394</v>
      </c>
      <c r="AI52" s="22">
        <v>1336072</v>
      </c>
      <c r="AJ52" s="22"/>
      <c r="AK52" s="22">
        <v>271300</v>
      </c>
      <c r="AL52" s="22">
        <v>445400</v>
      </c>
      <c r="AM52" s="22"/>
      <c r="AN52" s="22"/>
      <c r="AO52" s="23">
        <f t="shared" si="16"/>
        <v>2052772</v>
      </c>
      <c r="AR52" s="22">
        <v>927767</v>
      </c>
      <c r="AS52" s="22">
        <v>927767</v>
      </c>
      <c r="AT52" s="22">
        <v>24620</v>
      </c>
      <c r="AU52" s="23">
        <f t="shared" si="17"/>
        <v>1880154</v>
      </c>
      <c r="AV52" s="25">
        <f t="shared" si="18"/>
        <v>3932926</v>
      </c>
      <c r="AX52" s="22"/>
      <c r="AY52" s="22"/>
      <c r="AZ52" s="22"/>
      <c r="BD52" s="26">
        <f t="shared" si="19"/>
        <v>0</v>
      </c>
      <c r="BG52" s="22">
        <f t="shared" si="20"/>
        <v>26304117.280000001</v>
      </c>
      <c r="BH52" s="22">
        <f t="shared" si="21"/>
        <v>320000</v>
      </c>
      <c r="BI52" s="22">
        <f t="shared" si="22"/>
        <v>104797.28</v>
      </c>
      <c r="BJ52" s="22">
        <f t="shared" si="23"/>
        <v>60800</v>
      </c>
      <c r="BK52" s="22">
        <f t="shared" si="24"/>
        <v>26684917.280000001</v>
      </c>
      <c r="BL52" s="27">
        <v>4000</v>
      </c>
      <c r="BM52" s="28">
        <f t="shared" si="25"/>
        <v>6576.03</v>
      </c>
      <c r="BN52" s="28">
        <v>80</v>
      </c>
      <c r="BO52" s="28">
        <f t="shared" si="26"/>
        <v>15.2</v>
      </c>
      <c r="BP52" s="28">
        <f t="shared" si="27"/>
        <v>6671.23</v>
      </c>
    </row>
    <row r="53" spans="1:68" x14ac:dyDescent="0.3">
      <c r="A53" s="18" t="s">
        <v>258</v>
      </c>
      <c r="B53" s="18" t="s">
        <v>259</v>
      </c>
      <c r="C53" s="18" t="s">
        <v>260</v>
      </c>
      <c r="D53" s="19">
        <v>45800.208518518513</v>
      </c>
      <c r="E53" s="19">
        <v>46164.208518518513</v>
      </c>
      <c r="F53" s="18" t="s">
        <v>130</v>
      </c>
      <c r="G53" s="18" t="s">
        <v>70</v>
      </c>
      <c r="H53" s="20" t="s">
        <v>111</v>
      </c>
      <c r="I53" s="20" t="s">
        <v>112</v>
      </c>
      <c r="J53" s="21" t="s">
        <v>73</v>
      </c>
      <c r="K53" s="20" t="s">
        <v>74</v>
      </c>
      <c r="L53" s="20">
        <f t="shared" si="14"/>
        <v>31.94</v>
      </c>
      <c r="M53" s="22">
        <v>4400000</v>
      </c>
      <c r="N53" s="22"/>
      <c r="O53" s="22"/>
      <c r="P53" s="22"/>
      <c r="Q53" s="22"/>
      <c r="R53" s="22"/>
      <c r="S53" s="22"/>
      <c r="T53" s="22"/>
      <c r="U53" s="22"/>
      <c r="V53" s="22"/>
      <c r="W53" s="22">
        <v>4400000</v>
      </c>
      <c r="X53" s="22"/>
      <c r="Y53" s="22"/>
      <c r="Z53" s="22"/>
      <c r="AA53" s="22"/>
      <c r="AB53" s="22"/>
      <c r="AC53" s="22"/>
      <c r="AE53" s="22"/>
      <c r="AF53" s="23">
        <f t="shared" si="15"/>
        <v>8800000</v>
      </c>
      <c r="AI53" s="22">
        <v>528000</v>
      </c>
      <c r="AJ53" s="22"/>
      <c r="AK53" s="22">
        <v>23000</v>
      </c>
      <c r="AL53" s="22">
        <v>176000</v>
      </c>
      <c r="AM53" s="22"/>
      <c r="AN53" s="22"/>
      <c r="AO53" s="23">
        <f t="shared" si="16"/>
        <v>727000</v>
      </c>
      <c r="AR53" s="22">
        <v>366666</v>
      </c>
      <c r="AS53" s="22">
        <v>366666</v>
      </c>
      <c r="AT53" s="22">
        <v>11000</v>
      </c>
      <c r="AU53" s="23">
        <f t="shared" si="17"/>
        <v>744332</v>
      </c>
      <c r="AV53" s="25">
        <f t="shared" si="18"/>
        <v>1471332</v>
      </c>
      <c r="AX53" s="22">
        <v>145800</v>
      </c>
      <c r="AY53" s="22"/>
      <c r="AZ53" s="22"/>
      <c r="BD53" s="26">
        <f t="shared" si="19"/>
        <v>145800</v>
      </c>
      <c r="BG53" s="22">
        <f t="shared" si="20"/>
        <v>10458800.528000001</v>
      </c>
      <c r="BH53" s="22">
        <f t="shared" si="21"/>
        <v>320000</v>
      </c>
      <c r="BI53" s="22">
        <f t="shared" si="22"/>
        <v>41668.527999999998</v>
      </c>
      <c r="BJ53" s="22">
        <f t="shared" si="23"/>
        <v>60800</v>
      </c>
      <c r="BK53" s="22">
        <f t="shared" si="24"/>
        <v>10839600.528000001</v>
      </c>
      <c r="BL53" s="27">
        <v>4000</v>
      </c>
      <c r="BM53" s="28">
        <f t="shared" si="25"/>
        <v>2614.6999999999998</v>
      </c>
      <c r="BN53" s="28">
        <v>80</v>
      </c>
      <c r="BO53" s="28">
        <f t="shared" si="26"/>
        <v>15.2</v>
      </c>
      <c r="BP53" s="28">
        <f t="shared" si="27"/>
        <v>2709.8999999999996</v>
      </c>
    </row>
    <row r="54" spans="1:68" x14ac:dyDescent="0.3">
      <c r="A54" s="18" t="s">
        <v>261</v>
      </c>
      <c r="B54" s="18" t="s">
        <v>262</v>
      </c>
      <c r="C54" s="18" t="s">
        <v>263</v>
      </c>
      <c r="D54" s="19">
        <v>45520.208518518513</v>
      </c>
      <c r="E54" s="19"/>
      <c r="F54" s="18" t="s">
        <v>69</v>
      </c>
      <c r="G54" s="18" t="s">
        <v>70</v>
      </c>
      <c r="H54" s="20" t="s">
        <v>111</v>
      </c>
      <c r="I54" s="20" t="s">
        <v>112</v>
      </c>
      <c r="J54" s="21" t="s">
        <v>73</v>
      </c>
      <c r="K54" s="20" t="s">
        <v>74</v>
      </c>
      <c r="L54" s="20">
        <f t="shared" si="14"/>
        <v>31.94</v>
      </c>
      <c r="M54" s="22">
        <v>5012383</v>
      </c>
      <c r="N54" s="22"/>
      <c r="O54" s="22"/>
      <c r="P54" s="22"/>
      <c r="Q54" s="22"/>
      <c r="R54" s="22"/>
      <c r="S54" s="22"/>
      <c r="T54" s="22"/>
      <c r="U54" s="22"/>
      <c r="V54" s="22"/>
      <c r="W54" s="22">
        <v>5012383</v>
      </c>
      <c r="X54" s="22"/>
      <c r="Y54" s="22"/>
      <c r="Z54" s="22"/>
      <c r="AA54" s="22"/>
      <c r="AB54" s="22"/>
      <c r="AC54" s="22"/>
      <c r="AE54" s="22"/>
      <c r="AF54" s="23">
        <f t="shared" si="15"/>
        <v>10024766</v>
      </c>
      <c r="AI54" s="22">
        <v>601505</v>
      </c>
      <c r="AJ54" s="22"/>
      <c r="AK54" s="22">
        <v>26200</v>
      </c>
      <c r="AL54" s="22">
        <v>200500</v>
      </c>
      <c r="AM54" s="22"/>
      <c r="AN54" s="22"/>
      <c r="AO54" s="23">
        <f t="shared" si="16"/>
        <v>828205</v>
      </c>
      <c r="AR54" s="22">
        <v>417698</v>
      </c>
      <c r="AS54" s="22">
        <v>417698</v>
      </c>
      <c r="AT54" s="22">
        <v>12531</v>
      </c>
      <c r="AU54" s="23">
        <f t="shared" si="17"/>
        <v>847927</v>
      </c>
      <c r="AV54" s="25">
        <f t="shared" si="18"/>
        <v>1676132</v>
      </c>
      <c r="AX54" s="22"/>
      <c r="AY54" s="22"/>
      <c r="AZ54" s="22"/>
      <c r="BD54" s="26">
        <f t="shared" si="19"/>
        <v>0</v>
      </c>
      <c r="BG54" s="22">
        <f t="shared" si="20"/>
        <v>11747701.592</v>
      </c>
      <c r="BH54" s="22">
        <f t="shared" si="21"/>
        <v>320000</v>
      </c>
      <c r="BI54" s="22">
        <f t="shared" si="22"/>
        <v>46803.592000000004</v>
      </c>
      <c r="BJ54" s="22">
        <f t="shared" si="23"/>
        <v>60800</v>
      </c>
      <c r="BK54" s="22">
        <f t="shared" si="24"/>
        <v>12128501.592</v>
      </c>
      <c r="BL54" s="27">
        <v>4000</v>
      </c>
      <c r="BM54" s="28">
        <f t="shared" si="25"/>
        <v>2936.93</v>
      </c>
      <c r="BN54" s="28">
        <v>80</v>
      </c>
      <c r="BO54" s="28">
        <f t="shared" si="26"/>
        <v>15.2</v>
      </c>
      <c r="BP54" s="28">
        <f t="shared" si="27"/>
        <v>3032.1299999999997</v>
      </c>
    </row>
    <row r="55" spans="1:68" x14ac:dyDescent="0.3">
      <c r="A55" s="18" t="s">
        <v>264</v>
      </c>
      <c r="B55" s="18" t="s">
        <v>177</v>
      </c>
      <c r="C55" s="18" t="s">
        <v>265</v>
      </c>
      <c r="D55" s="19">
        <v>46037.208518518513</v>
      </c>
      <c r="E55" s="19"/>
      <c r="F55" s="18" t="s">
        <v>69</v>
      </c>
      <c r="G55" s="18" t="s">
        <v>70</v>
      </c>
      <c r="H55" s="20"/>
      <c r="I55" s="20"/>
      <c r="J55" s="21" t="s">
        <v>73</v>
      </c>
      <c r="K55" s="20" t="s">
        <v>74</v>
      </c>
      <c r="L55" s="20">
        <f t="shared" si="14"/>
        <v>31.94</v>
      </c>
      <c r="M55" s="22">
        <v>5300000</v>
      </c>
      <c r="N55" s="22"/>
      <c r="O55" s="22"/>
      <c r="P55" s="22"/>
      <c r="Q55" s="22"/>
      <c r="R55" s="22"/>
      <c r="S55" s="22">
        <v>2561299</v>
      </c>
      <c r="T55" s="22"/>
      <c r="U55" s="22"/>
      <c r="V55" s="22"/>
      <c r="W55" s="22">
        <v>7861299</v>
      </c>
      <c r="X55" s="22"/>
      <c r="Y55" s="22"/>
      <c r="Z55" s="22"/>
      <c r="AA55" s="22"/>
      <c r="AB55" s="22"/>
      <c r="AC55" s="22"/>
      <c r="AE55" s="22"/>
      <c r="AF55" s="23">
        <f t="shared" si="15"/>
        <v>15722598</v>
      </c>
      <c r="AI55" s="22">
        <v>943448</v>
      </c>
      <c r="AJ55" s="22"/>
      <c r="AK55" s="22">
        <v>191600</v>
      </c>
      <c r="AL55" s="22">
        <v>314500</v>
      </c>
      <c r="AM55" s="22"/>
      <c r="AN55" s="22"/>
      <c r="AO55" s="23">
        <f t="shared" si="16"/>
        <v>1449548</v>
      </c>
      <c r="AR55" s="22">
        <v>655108</v>
      </c>
      <c r="AS55" s="22">
        <v>655108</v>
      </c>
      <c r="AT55" s="22">
        <v>12401</v>
      </c>
      <c r="AU55" s="23">
        <f t="shared" si="17"/>
        <v>1322617</v>
      </c>
      <c r="AV55" s="25">
        <f t="shared" si="18"/>
        <v>2772165</v>
      </c>
      <c r="AX55" s="22"/>
      <c r="AY55" s="22"/>
      <c r="AZ55" s="22">
        <v>103500</v>
      </c>
      <c r="BD55" s="26">
        <f t="shared" si="19"/>
        <v>103500</v>
      </c>
      <c r="BG55" s="22">
        <f t="shared" si="20"/>
        <v>18672656.052000001</v>
      </c>
      <c r="BH55" s="22">
        <f t="shared" si="21"/>
        <v>320000</v>
      </c>
      <c r="BI55" s="22">
        <f t="shared" si="22"/>
        <v>74393.051999999996</v>
      </c>
      <c r="BJ55" s="22">
        <f t="shared" si="23"/>
        <v>60800</v>
      </c>
      <c r="BK55" s="22">
        <f t="shared" si="24"/>
        <v>19053456.052000001</v>
      </c>
      <c r="BL55" s="27">
        <v>4000</v>
      </c>
      <c r="BM55" s="28">
        <f t="shared" si="25"/>
        <v>4668.16</v>
      </c>
      <c r="BN55" s="28">
        <v>80</v>
      </c>
      <c r="BO55" s="28">
        <f t="shared" si="26"/>
        <v>15.2</v>
      </c>
      <c r="BP55" s="28">
        <f t="shared" si="27"/>
        <v>4763.3599999999997</v>
      </c>
    </row>
    <row r="56" spans="1:68" x14ac:dyDescent="0.3">
      <c r="A56" s="18" t="s">
        <v>266</v>
      </c>
      <c r="B56" s="18" t="s">
        <v>267</v>
      </c>
      <c r="C56" s="18" t="s">
        <v>268</v>
      </c>
      <c r="D56" s="19">
        <v>45778.208518518513</v>
      </c>
      <c r="E56" s="19"/>
      <c r="F56" s="18" t="s">
        <v>69</v>
      </c>
      <c r="G56" s="18" t="s">
        <v>70</v>
      </c>
      <c r="H56" s="20" t="s">
        <v>98</v>
      </c>
      <c r="I56" s="20" t="s">
        <v>99</v>
      </c>
      <c r="J56" s="21" t="s">
        <v>73</v>
      </c>
      <c r="K56" s="20" t="s">
        <v>74</v>
      </c>
      <c r="L56" s="20">
        <f t="shared" si="14"/>
        <v>31.94</v>
      </c>
      <c r="M56" s="22">
        <v>10000000</v>
      </c>
      <c r="N56" s="22"/>
      <c r="O56" s="22"/>
      <c r="P56" s="22"/>
      <c r="Q56" s="22"/>
      <c r="R56" s="22"/>
      <c r="S56" s="22"/>
      <c r="T56" s="22"/>
      <c r="U56" s="22"/>
      <c r="V56" s="22"/>
      <c r="W56" s="22">
        <v>10000000</v>
      </c>
      <c r="X56" s="22"/>
      <c r="Y56" s="22"/>
      <c r="Z56" s="22"/>
      <c r="AA56" s="22"/>
      <c r="AB56" s="22"/>
      <c r="AC56" s="22"/>
      <c r="AE56" s="22"/>
      <c r="AF56" s="23">
        <f t="shared" si="15"/>
        <v>20000000</v>
      </c>
      <c r="AI56" s="22">
        <v>1200000</v>
      </c>
      <c r="AJ56" s="22"/>
      <c r="AK56" s="22">
        <v>243600</v>
      </c>
      <c r="AL56" s="22">
        <v>400000</v>
      </c>
      <c r="AM56" s="22"/>
      <c r="AN56" s="22"/>
      <c r="AO56" s="23">
        <f t="shared" si="16"/>
        <v>1843600</v>
      </c>
      <c r="AR56" s="22">
        <v>833334</v>
      </c>
      <c r="AS56" s="22">
        <v>833334</v>
      </c>
      <c r="AT56" s="22">
        <v>25000</v>
      </c>
      <c r="AU56" s="23">
        <f t="shared" si="17"/>
        <v>1691668</v>
      </c>
      <c r="AV56" s="25">
        <f t="shared" si="18"/>
        <v>3535268</v>
      </c>
      <c r="AX56" s="22"/>
      <c r="AY56" s="22"/>
      <c r="AZ56" s="22"/>
      <c r="BD56" s="26">
        <f t="shared" si="19"/>
        <v>0</v>
      </c>
      <c r="BG56" s="22">
        <f t="shared" si="20"/>
        <v>23629409.072000001</v>
      </c>
      <c r="BH56" s="22">
        <f t="shared" si="21"/>
        <v>320000</v>
      </c>
      <c r="BI56" s="22">
        <f t="shared" si="22"/>
        <v>94141.072</v>
      </c>
      <c r="BJ56" s="22">
        <f t="shared" si="23"/>
        <v>60800</v>
      </c>
      <c r="BK56" s="22">
        <f t="shared" si="24"/>
        <v>24010209.072000001</v>
      </c>
      <c r="BL56" s="27">
        <v>4000</v>
      </c>
      <c r="BM56" s="28">
        <f t="shared" si="25"/>
        <v>5907.35</v>
      </c>
      <c r="BN56" s="28">
        <v>80</v>
      </c>
      <c r="BO56" s="28">
        <f t="shared" si="26"/>
        <v>15.2</v>
      </c>
      <c r="BP56" s="28">
        <f t="shared" si="27"/>
        <v>6002.55</v>
      </c>
    </row>
    <row r="57" spans="1:68" x14ac:dyDescent="0.3">
      <c r="A57" s="18" t="s">
        <v>269</v>
      </c>
      <c r="B57" s="18" t="s">
        <v>270</v>
      </c>
      <c r="C57" s="18" t="s">
        <v>271</v>
      </c>
      <c r="D57" s="19">
        <v>45894.208518518513</v>
      </c>
      <c r="E57" s="19"/>
      <c r="F57" s="18" t="s">
        <v>69</v>
      </c>
      <c r="G57" s="18" t="s">
        <v>70</v>
      </c>
      <c r="H57" s="20" t="s">
        <v>134</v>
      </c>
      <c r="I57" s="20" t="s">
        <v>135</v>
      </c>
      <c r="J57" s="21" t="s">
        <v>73</v>
      </c>
      <c r="K57" s="20" t="s">
        <v>74</v>
      </c>
      <c r="L57" s="20">
        <f t="shared" si="14"/>
        <v>31.94</v>
      </c>
      <c r="M57" s="22">
        <v>6700100</v>
      </c>
      <c r="N57" s="22"/>
      <c r="O57" s="22"/>
      <c r="P57" s="22"/>
      <c r="Q57" s="22"/>
      <c r="R57" s="22"/>
      <c r="S57" s="22"/>
      <c r="T57" s="22"/>
      <c r="U57" s="22"/>
      <c r="V57" s="22">
        <v>431915</v>
      </c>
      <c r="W57" s="22">
        <v>7132015</v>
      </c>
      <c r="X57" s="22"/>
      <c r="Y57" s="22"/>
      <c r="Z57" s="22"/>
      <c r="AA57" s="22"/>
      <c r="AB57" s="22"/>
      <c r="AC57" s="22"/>
      <c r="AE57" s="22"/>
      <c r="AF57" s="23">
        <f t="shared" si="15"/>
        <v>14264030</v>
      </c>
      <c r="AI57" s="22">
        <v>804096</v>
      </c>
      <c r="AJ57" s="22"/>
      <c r="AK57" s="22">
        <v>163300</v>
      </c>
      <c r="AL57" s="22">
        <v>268100</v>
      </c>
      <c r="AM57" s="22"/>
      <c r="AN57" s="22"/>
      <c r="AO57" s="23">
        <f t="shared" si="16"/>
        <v>1235496</v>
      </c>
      <c r="AR57" s="22">
        <v>558341</v>
      </c>
      <c r="AS57" s="22">
        <v>558341</v>
      </c>
      <c r="AT57" s="22">
        <v>16751</v>
      </c>
      <c r="AU57" s="23">
        <f t="shared" si="17"/>
        <v>1133433</v>
      </c>
      <c r="AV57" s="25">
        <f t="shared" si="18"/>
        <v>2368929</v>
      </c>
      <c r="AX57" s="22"/>
      <c r="AY57" s="22">
        <v>432545</v>
      </c>
      <c r="AZ57" s="22"/>
      <c r="BD57" s="26">
        <f t="shared" si="19"/>
        <v>432545</v>
      </c>
      <c r="BG57" s="22">
        <f t="shared" si="20"/>
        <v>17133766.015999999</v>
      </c>
      <c r="BH57" s="22">
        <f t="shared" si="21"/>
        <v>320000</v>
      </c>
      <c r="BI57" s="22">
        <f t="shared" si="22"/>
        <v>68262.016000000003</v>
      </c>
      <c r="BJ57" s="22">
        <f t="shared" si="23"/>
        <v>60800</v>
      </c>
      <c r="BK57" s="22">
        <f t="shared" si="24"/>
        <v>17514566.015999999</v>
      </c>
      <c r="BL57" s="27">
        <v>4000</v>
      </c>
      <c r="BM57" s="28">
        <f t="shared" si="25"/>
        <v>4283.4399999999996</v>
      </c>
      <c r="BN57" s="28">
        <v>80</v>
      </c>
      <c r="BO57" s="28">
        <f t="shared" si="26"/>
        <v>15.2</v>
      </c>
      <c r="BP57" s="28">
        <f t="shared" si="27"/>
        <v>4378.6399999999994</v>
      </c>
    </row>
    <row r="58" spans="1:68" x14ac:dyDescent="0.3">
      <c r="A58" s="18" t="s">
        <v>272</v>
      </c>
      <c r="B58" s="18" t="s">
        <v>273</v>
      </c>
      <c r="C58" s="18" t="s">
        <v>274</v>
      </c>
      <c r="D58" s="19">
        <v>45992.208518518513</v>
      </c>
      <c r="E58" s="19"/>
      <c r="F58" s="18" t="s">
        <v>69</v>
      </c>
      <c r="G58" s="18" t="s">
        <v>70</v>
      </c>
      <c r="H58" s="20" t="s">
        <v>93</v>
      </c>
      <c r="I58" s="20" t="s">
        <v>94</v>
      </c>
      <c r="J58" s="21" t="s">
        <v>73</v>
      </c>
      <c r="K58" s="20" t="s">
        <v>74</v>
      </c>
      <c r="L58" s="20">
        <f t="shared" si="14"/>
        <v>31.94</v>
      </c>
      <c r="M58" s="22">
        <v>6500000</v>
      </c>
      <c r="N58" s="22"/>
      <c r="O58" s="22"/>
      <c r="P58" s="22"/>
      <c r="Q58" s="22"/>
      <c r="R58" s="22">
        <v>425455</v>
      </c>
      <c r="S58" s="22"/>
      <c r="T58" s="22"/>
      <c r="U58" s="22"/>
      <c r="V58" s="22"/>
      <c r="W58" s="22">
        <v>6925455</v>
      </c>
      <c r="X58" s="22"/>
      <c r="Y58" s="22"/>
      <c r="Z58" s="22"/>
      <c r="AA58" s="22"/>
      <c r="AB58" s="22"/>
      <c r="AC58" s="22"/>
      <c r="AE58" s="22"/>
      <c r="AF58" s="23">
        <f t="shared" si="15"/>
        <v>13850910</v>
      </c>
      <c r="AI58" s="22">
        <v>831082</v>
      </c>
      <c r="AJ58" s="22"/>
      <c r="AK58" s="22">
        <v>36200</v>
      </c>
      <c r="AL58" s="22">
        <v>277100</v>
      </c>
      <c r="AM58" s="22"/>
      <c r="AN58" s="22"/>
      <c r="AO58" s="23">
        <f t="shared" si="16"/>
        <v>1144382</v>
      </c>
      <c r="AR58" s="22">
        <v>577122</v>
      </c>
      <c r="AS58" s="22">
        <v>577122</v>
      </c>
      <c r="AT58" s="22">
        <v>17314</v>
      </c>
      <c r="AU58" s="23">
        <f t="shared" si="17"/>
        <v>1171558</v>
      </c>
      <c r="AV58" s="25">
        <f t="shared" si="18"/>
        <v>2315940</v>
      </c>
      <c r="AX58" s="22"/>
      <c r="AY58" s="22"/>
      <c r="AZ58" s="22"/>
      <c r="BD58" s="26">
        <f t="shared" si="19"/>
        <v>0</v>
      </c>
      <c r="BG58" s="22">
        <f t="shared" si="20"/>
        <v>16231517.4</v>
      </c>
      <c r="BH58" s="22">
        <f t="shared" si="21"/>
        <v>320000</v>
      </c>
      <c r="BI58" s="22">
        <f t="shared" si="22"/>
        <v>64667.4</v>
      </c>
      <c r="BJ58" s="22">
        <f t="shared" si="23"/>
        <v>60800</v>
      </c>
      <c r="BK58" s="22">
        <f t="shared" si="24"/>
        <v>16612317.4</v>
      </c>
      <c r="BL58" s="27">
        <v>4000</v>
      </c>
      <c r="BM58" s="28">
        <f t="shared" si="25"/>
        <v>4057.88</v>
      </c>
      <c r="BN58" s="28">
        <v>80</v>
      </c>
      <c r="BO58" s="28">
        <f t="shared" si="26"/>
        <v>15.2</v>
      </c>
      <c r="BP58" s="28">
        <f t="shared" si="27"/>
        <v>4153.08</v>
      </c>
    </row>
    <row r="59" spans="1:68" x14ac:dyDescent="0.3">
      <c r="A59" s="18" t="s">
        <v>275</v>
      </c>
      <c r="B59" s="18" t="s">
        <v>276</v>
      </c>
      <c r="C59" s="18" t="s">
        <v>277</v>
      </c>
      <c r="D59" s="19">
        <v>45384.208518518513</v>
      </c>
      <c r="E59" s="19">
        <v>46066.208518518513</v>
      </c>
      <c r="F59" s="18" t="s">
        <v>130</v>
      </c>
      <c r="G59" s="18" t="s">
        <v>70</v>
      </c>
      <c r="H59" s="20" t="s">
        <v>93</v>
      </c>
      <c r="I59" s="20" t="s">
        <v>94</v>
      </c>
      <c r="J59" s="21" t="s">
        <v>73</v>
      </c>
      <c r="K59" s="20" t="s">
        <v>74</v>
      </c>
      <c r="L59" s="20">
        <f t="shared" si="14"/>
        <v>31.94</v>
      </c>
      <c r="M59" s="22">
        <v>7000000</v>
      </c>
      <c r="N59" s="22"/>
      <c r="O59" s="22"/>
      <c r="P59" s="22"/>
      <c r="Q59" s="22"/>
      <c r="R59" s="22">
        <v>595000</v>
      </c>
      <c r="S59" s="22"/>
      <c r="T59" s="22"/>
      <c r="U59" s="22"/>
      <c r="V59" s="22"/>
      <c r="W59" s="22">
        <v>7595000</v>
      </c>
      <c r="X59" s="22"/>
      <c r="Y59" s="22"/>
      <c r="Z59" s="22"/>
      <c r="AA59" s="22"/>
      <c r="AB59" s="22"/>
      <c r="AC59" s="22"/>
      <c r="AE59" s="22"/>
      <c r="AF59" s="23">
        <f t="shared" si="15"/>
        <v>15190000</v>
      </c>
      <c r="AI59" s="22">
        <v>911400</v>
      </c>
      <c r="AJ59" s="22"/>
      <c r="AK59" s="22">
        <v>39700</v>
      </c>
      <c r="AL59" s="22">
        <v>303800</v>
      </c>
      <c r="AM59" s="22"/>
      <c r="AN59" s="22"/>
      <c r="AO59" s="23">
        <f t="shared" si="16"/>
        <v>1254900</v>
      </c>
      <c r="AR59" s="22">
        <v>632916</v>
      </c>
      <c r="AS59" s="22">
        <v>632916</v>
      </c>
      <c r="AT59" s="22">
        <v>19197</v>
      </c>
      <c r="AU59" s="23">
        <f t="shared" si="17"/>
        <v>1285029</v>
      </c>
      <c r="AV59" s="25">
        <f t="shared" si="18"/>
        <v>2539929</v>
      </c>
      <c r="AX59" s="22"/>
      <c r="AY59" s="22"/>
      <c r="AZ59" s="22"/>
      <c r="BD59" s="26">
        <f t="shared" si="19"/>
        <v>0</v>
      </c>
      <c r="BG59" s="22">
        <f t="shared" si="20"/>
        <v>17800848.715999998</v>
      </c>
      <c r="BH59" s="22">
        <f t="shared" si="21"/>
        <v>320000</v>
      </c>
      <c r="BI59" s="22">
        <f t="shared" si="22"/>
        <v>70919.716</v>
      </c>
      <c r="BJ59" s="22">
        <f t="shared" si="23"/>
        <v>60800</v>
      </c>
      <c r="BK59" s="22">
        <f t="shared" si="24"/>
        <v>18181648.715999998</v>
      </c>
      <c r="BL59" s="27">
        <v>4000</v>
      </c>
      <c r="BM59" s="28">
        <f t="shared" si="25"/>
        <v>4450.21</v>
      </c>
      <c r="BN59" s="28">
        <v>80</v>
      </c>
      <c r="BO59" s="28">
        <f t="shared" si="26"/>
        <v>15.2</v>
      </c>
      <c r="BP59" s="28">
        <f t="shared" si="27"/>
        <v>4545.41</v>
      </c>
    </row>
    <row r="60" spans="1:68" x14ac:dyDescent="0.3">
      <c r="A60" s="18" t="s">
        <v>278</v>
      </c>
      <c r="B60" s="18" t="s">
        <v>279</v>
      </c>
      <c r="C60" s="18" t="s">
        <v>280</v>
      </c>
      <c r="D60" s="19">
        <v>44774.208518518513</v>
      </c>
      <c r="E60" s="19"/>
      <c r="F60" s="18" t="s">
        <v>69</v>
      </c>
      <c r="G60" s="18" t="s">
        <v>70</v>
      </c>
      <c r="H60" s="20" t="s">
        <v>281</v>
      </c>
      <c r="I60" s="20" t="s">
        <v>282</v>
      </c>
      <c r="J60" s="21" t="s">
        <v>73</v>
      </c>
      <c r="K60" s="20" t="s">
        <v>74</v>
      </c>
      <c r="L60" s="20">
        <f t="shared" si="14"/>
        <v>31.94</v>
      </c>
      <c r="M60" s="22">
        <v>25106097</v>
      </c>
      <c r="N60" s="22"/>
      <c r="O60" s="22"/>
      <c r="P60" s="22"/>
      <c r="Q60" s="22"/>
      <c r="R60" s="22"/>
      <c r="S60" s="22"/>
      <c r="T60" s="22"/>
      <c r="U60" s="22"/>
      <c r="V60" s="22"/>
      <c r="W60" s="22">
        <v>25106097</v>
      </c>
      <c r="X60" s="22"/>
      <c r="Y60" s="22"/>
      <c r="Z60" s="22"/>
      <c r="AA60" s="22"/>
      <c r="AB60" s="22"/>
      <c r="AC60" s="22"/>
      <c r="AE60" s="22"/>
      <c r="AF60" s="23">
        <f t="shared" si="15"/>
        <v>50212194</v>
      </c>
      <c r="AI60" s="22">
        <v>2108929</v>
      </c>
      <c r="AJ60" s="22">
        <v>1493829</v>
      </c>
      <c r="AK60" s="22">
        <v>428200</v>
      </c>
      <c r="AL60" s="22">
        <v>703000</v>
      </c>
      <c r="AM60" s="22">
        <v>351500</v>
      </c>
      <c r="AN60" s="22">
        <v>527300</v>
      </c>
      <c r="AO60" s="23">
        <f t="shared" si="16"/>
        <v>5612758</v>
      </c>
      <c r="AR60" s="22"/>
      <c r="AS60" s="22"/>
      <c r="AT60" s="22"/>
      <c r="AU60" s="23">
        <f t="shared" si="17"/>
        <v>0</v>
      </c>
      <c r="AV60" s="25">
        <f t="shared" si="18"/>
        <v>5612758</v>
      </c>
      <c r="AX60" s="22">
        <v>577381</v>
      </c>
      <c r="AY60" s="22"/>
      <c r="AZ60" s="22"/>
      <c r="BD60" s="26">
        <f t="shared" si="19"/>
        <v>577381</v>
      </c>
      <c r="BG60" s="22">
        <f t="shared" si="20"/>
        <v>56627942.332000002</v>
      </c>
      <c r="BH60" s="22">
        <f t="shared" si="21"/>
        <v>320000</v>
      </c>
      <c r="BI60" s="22">
        <f t="shared" si="22"/>
        <v>225609.33199999999</v>
      </c>
      <c r="BJ60" s="22">
        <f t="shared" si="23"/>
        <v>60800</v>
      </c>
      <c r="BK60" s="22">
        <f t="shared" si="24"/>
        <v>57008742.332000002</v>
      </c>
      <c r="BL60" s="27">
        <v>4000</v>
      </c>
      <c r="BM60" s="28">
        <f t="shared" si="25"/>
        <v>14156.99</v>
      </c>
      <c r="BN60" s="28">
        <v>80</v>
      </c>
      <c r="BO60" s="28">
        <f t="shared" si="26"/>
        <v>15.2</v>
      </c>
      <c r="BP60" s="28">
        <f t="shared" si="27"/>
        <v>14252.19</v>
      </c>
    </row>
    <row r="61" spans="1:68" x14ac:dyDescent="0.3">
      <c r="A61" s="18" t="s">
        <v>283</v>
      </c>
      <c r="B61" s="18" t="s">
        <v>284</v>
      </c>
      <c r="C61" s="18" t="s">
        <v>285</v>
      </c>
      <c r="D61" s="19">
        <v>45889.208518518513</v>
      </c>
      <c r="E61" s="19"/>
      <c r="F61" s="18" t="s">
        <v>69</v>
      </c>
      <c r="G61" s="18" t="s">
        <v>70</v>
      </c>
      <c r="H61" s="20" t="s">
        <v>286</v>
      </c>
      <c r="I61" s="20" t="s">
        <v>287</v>
      </c>
      <c r="J61" s="21" t="s">
        <v>73</v>
      </c>
      <c r="K61" s="20" t="s">
        <v>74</v>
      </c>
      <c r="L61" s="20">
        <f t="shared" si="14"/>
        <v>31.94</v>
      </c>
      <c r="M61" s="22">
        <v>3926700</v>
      </c>
      <c r="N61" s="22"/>
      <c r="O61" s="22"/>
      <c r="P61" s="22"/>
      <c r="Q61" s="22"/>
      <c r="R61" s="22"/>
      <c r="S61" s="22"/>
      <c r="T61" s="22"/>
      <c r="U61" s="22"/>
      <c r="V61" s="22"/>
      <c r="W61" s="22">
        <v>3926700</v>
      </c>
      <c r="X61" s="22"/>
      <c r="Y61" s="22"/>
      <c r="Z61" s="22"/>
      <c r="AA61" s="22"/>
      <c r="AB61" s="22"/>
      <c r="AC61" s="22"/>
      <c r="AE61" s="22"/>
      <c r="AF61" s="23">
        <f t="shared" si="15"/>
        <v>7853400</v>
      </c>
      <c r="AI61" s="22">
        <v>471232</v>
      </c>
      <c r="AJ61" s="22"/>
      <c r="AK61" s="22">
        <v>95700</v>
      </c>
      <c r="AL61" s="22">
        <v>157100</v>
      </c>
      <c r="AM61" s="22"/>
      <c r="AN61" s="22"/>
      <c r="AO61" s="23">
        <f t="shared" si="16"/>
        <v>724032</v>
      </c>
      <c r="AR61" s="22">
        <v>327225</v>
      </c>
      <c r="AS61" s="22">
        <v>327225</v>
      </c>
      <c r="AT61" s="22">
        <v>9817</v>
      </c>
      <c r="AU61" s="23">
        <f t="shared" si="17"/>
        <v>664267</v>
      </c>
      <c r="AV61" s="25">
        <f t="shared" si="18"/>
        <v>1388299</v>
      </c>
      <c r="AX61" s="22"/>
      <c r="AY61" s="22"/>
      <c r="AZ61" s="22"/>
      <c r="BD61" s="26">
        <f t="shared" si="19"/>
        <v>0</v>
      </c>
      <c r="BG61" s="22">
        <f t="shared" si="20"/>
        <v>9278665.7960000001</v>
      </c>
      <c r="BH61" s="22">
        <f t="shared" si="21"/>
        <v>320000</v>
      </c>
      <c r="BI61" s="22">
        <f t="shared" si="22"/>
        <v>36966.796000000002</v>
      </c>
      <c r="BJ61" s="22">
        <f t="shared" si="23"/>
        <v>60800</v>
      </c>
      <c r="BK61" s="22">
        <f t="shared" si="24"/>
        <v>9659465.7960000001</v>
      </c>
      <c r="BL61" s="27">
        <v>4000</v>
      </c>
      <c r="BM61" s="28">
        <f t="shared" si="25"/>
        <v>2319.67</v>
      </c>
      <c r="BN61" s="28">
        <v>80</v>
      </c>
      <c r="BO61" s="28">
        <f t="shared" si="26"/>
        <v>15.2</v>
      </c>
      <c r="BP61" s="28">
        <f t="shared" si="27"/>
        <v>2414.87</v>
      </c>
    </row>
    <row r="62" spans="1:68" x14ac:dyDescent="0.3">
      <c r="A62" s="18" t="s">
        <v>288</v>
      </c>
      <c r="B62" s="18" t="s">
        <v>289</v>
      </c>
      <c r="C62" s="18" t="s">
        <v>290</v>
      </c>
      <c r="D62" s="19">
        <v>46000.208518518513</v>
      </c>
      <c r="E62" s="19"/>
      <c r="F62" s="18" t="s">
        <v>69</v>
      </c>
      <c r="G62" s="18" t="s">
        <v>70</v>
      </c>
      <c r="H62" s="20" t="s">
        <v>291</v>
      </c>
      <c r="I62" s="20" t="s">
        <v>292</v>
      </c>
      <c r="J62" s="21" t="s">
        <v>73</v>
      </c>
      <c r="K62" s="20" t="s">
        <v>74</v>
      </c>
      <c r="L62" s="20">
        <f t="shared" si="14"/>
        <v>31.94</v>
      </c>
      <c r="M62" s="22">
        <v>3752984</v>
      </c>
      <c r="N62" s="22"/>
      <c r="O62" s="22"/>
      <c r="P62" s="22"/>
      <c r="Q62" s="22"/>
      <c r="R62" s="22"/>
      <c r="S62" s="22"/>
      <c r="T62" s="22"/>
      <c r="U62" s="22"/>
      <c r="V62" s="22"/>
      <c r="W62" s="22">
        <v>3752984</v>
      </c>
      <c r="X62" s="22"/>
      <c r="Y62" s="22"/>
      <c r="Z62" s="22"/>
      <c r="AA62" s="22"/>
      <c r="AB62" s="22"/>
      <c r="AC62" s="22"/>
      <c r="AE62" s="22"/>
      <c r="AF62" s="23">
        <f t="shared" si="15"/>
        <v>7505968</v>
      </c>
      <c r="AI62" s="22">
        <v>450381</v>
      </c>
      <c r="AJ62" s="22"/>
      <c r="AK62" s="22">
        <v>91500</v>
      </c>
      <c r="AL62" s="22">
        <v>150200</v>
      </c>
      <c r="AM62" s="22"/>
      <c r="AN62" s="22"/>
      <c r="AO62" s="23">
        <f t="shared" si="16"/>
        <v>692081</v>
      </c>
      <c r="AR62" s="22">
        <v>312748</v>
      </c>
      <c r="AS62" s="22">
        <v>312748</v>
      </c>
      <c r="AT62" s="22">
        <v>9383</v>
      </c>
      <c r="AU62" s="23">
        <f t="shared" si="17"/>
        <v>634879</v>
      </c>
      <c r="AV62" s="25">
        <f t="shared" si="18"/>
        <v>1326960</v>
      </c>
      <c r="AX62" s="22"/>
      <c r="AY62" s="22"/>
      <c r="AZ62" s="22"/>
      <c r="BD62" s="26">
        <f t="shared" si="19"/>
        <v>0</v>
      </c>
      <c r="BG62" s="22">
        <f t="shared" si="20"/>
        <v>8868259.7119999994</v>
      </c>
      <c r="BH62" s="22">
        <f t="shared" si="21"/>
        <v>320000</v>
      </c>
      <c r="BI62" s="22">
        <f t="shared" si="22"/>
        <v>35331.712</v>
      </c>
      <c r="BJ62" s="22">
        <f t="shared" si="23"/>
        <v>60800</v>
      </c>
      <c r="BK62" s="22">
        <f t="shared" si="24"/>
        <v>9249059.7119999994</v>
      </c>
      <c r="BL62" s="27">
        <v>4000</v>
      </c>
      <c r="BM62" s="28">
        <f t="shared" si="25"/>
        <v>2217.06</v>
      </c>
      <c r="BN62" s="28">
        <v>80</v>
      </c>
      <c r="BO62" s="28">
        <f t="shared" si="26"/>
        <v>15.2</v>
      </c>
      <c r="BP62" s="28">
        <f t="shared" si="27"/>
        <v>2312.2599999999998</v>
      </c>
    </row>
    <row r="63" spans="1:68" x14ac:dyDescent="0.3">
      <c r="A63" s="18" t="s">
        <v>293</v>
      </c>
      <c r="B63" s="18" t="s">
        <v>294</v>
      </c>
      <c r="C63" s="18" t="s">
        <v>295</v>
      </c>
      <c r="D63" s="19">
        <v>45912.208518518513</v>
      </c>
      <c r="E63" s="19">
        <v>46081.208518518513</v>
      </c>
      <c r="F63" s="18" t="s">
        <v>130</v>
      </c>
      <c r="G63" s="18" t="s">
        <v>70</v>
      </c>
      <c r="H63" s="20" t="s">
        <v>296</v>
      </c>
      <c r="I63" s="20" t="s">
        <v>297</v>
      </c>
      <c r="J63" s="21" t="s">
        <v>73</v>
      </c>
      <c r="K63" s="20" t="s">
        <v>74</v>
      </c>
      <c r="L63" s="20">
        <f t="shared" si="14"/>
        <v>31.94</v>
      </c>
      <c r="M63" s="22">
        <v>7921864</v>
      </c>
      <c r="N63" s="22"/>
      <c r="O63" s="22"/>
      <c r="P63" s="22"/>
      <c r="Q63" s="22"/>
      <c r="R63" s="22"/>
      <c r="S63" s="22"/>
      <c r="T63" s="22"/>
      <c r="U63" s="22"/>
      <c r="V63" s="22"/>
      <c r="W63" s="22">
        <v>7921864</v>
      </c>
      <c r="X63" s="22"/>
      <c r="Y63" s="22"/>
      <c r="Z63" s="22"/>
      <c r="AA63" s="22"/>
      <c r="AB63" s="22"/>
      <c r="AC63" s="22"/>
      <c r="AE63" s="22"/>
      <c r="AF63" s="23">
        <f t="shared" si="15"/>
        <v>15843728</v>
      </c>
      <c r="AI63" s="22"/>
      <c r="AJ63" s="22"/>
      <c r="AK63" s="22">
        <v>551400</v>
      </c>
      <c r="AL63" s="22">
        <v>316900</v>
      </c>
      <c r="AM63" s="22"/>
      <c r="AN63" s="22"/>
      <c r="AO63" s="23">
        <f t="shared" si="16"/>
        <v>868300</v>
      </c>
      <c r="AR63" s="22">
        <v>660156</v>
      </c>
      <c r="AS63" s="22">
        <v>660156</v>
      </c>
      <c r="AT63" s="22">
        <v>19804</v>
      </c>
      <c r="AU63" s="23">
        <f t="shared" si="17"/>
        <v>1340116</v>
      </c>
      <c r="AV63" s="25">
        <f t="shared" si="18"/>
        <v>2208416</v>
      </c>
      <c r="AX63" s="22"/>
      <c r="AY63" s="22"/>
      <c r="AZ63" s="22"/>
      <c r="BD63" s="26">
        <f t="shared" si="19"/>
        <v>0</v>
      </c>
      <c r="BG63" s="22">
        <f t="shared" si="20"/>
        <v>18124352.576000001</v>
      </c>
      <c r="BH63" s="22">
        <f t="shared" si="21"/>
        <v>320000</v>
      </c>
      <c r="BI63" s="22">
        <f t="shared" si="22"/>
        <v>72208.576000000001</v>
      </c>
      <c r="BJ63" s="22">
        <f t="shared" si="23"/>
        <v>60800</v>
      </c>
      <c r="BK63" s="22">
        <f t="shared" si="24"/>
        <v>18505152.576000001</v>
      </c>
      <c r="BL63" s="27">
        <v>4000</v>
      </c>
      <c r="BM63" s="28">
        <f t="shared" si="25"/>
        <v>4531.09</v>
      </c>
      <c r="BN63" s="28">
        <v>80</v>
      </c>
      <c r="BO63" s="28">
        <f t="shared" si="26"/>
        <v>15.2</v>
      </c>
      <c r="BP63" s="28">
        <f t="shared" si="27"/>
        <v>4626.29</v>
      </c>
    </row>
    <row r="64" spans="1:68" x14ac:dyDescent="0.3">
      <c r="A64" s="18" t="s">
        <v>298</v>
      </c>
      <c r="B64" s="18" t="s">
        <v>299</v>
      </c>
      <c r="C64" s="18" t="s">
        <v>300</v>
      </c>
      <c r="D64" s="19">
        <v>46000.208518518513</v>
      </c>
      <c r="E64" s="19"/>
      <c r="F64" s="18" t="s">
        <v>69</v>
      </c>
      <c r="G64" s="18" t="s">
        <v>70</v>
      </c>
      <c r="H64" s="20" t="s">
        <v>291</v>
      </c>
      <c r="I64" s="20" t="s">
        <v>292</v>
      </c>
      <c r="J64" s="21" t="s">
        <v>73</v>
      </c>
      <c r="K64" s="20" t="s">
        <v>74</v>
      </c>
      <c r="L64" s="20">
        <f t="shared" si="14"/>
        <v>31.94</v>
      </c>
      <c r="M64" s="22">
        <v>3752984</v>
      </c>
      <c r="N64" s="22"/>
      <c r="O64" s="22"/>
      <c r="P64" s="22"/>
      <c r="Q64" s="22"/>
      <c r="R64" s="22"/>
      <c r="S64" s="22"/>
      <c r="T64" s="22"/>
      <c r="U64" s="22"/>
      <c r="V64" s="22"/>
      <c r="W64" s="22">
        <v>3752984</v>
      </c>
      <c r="X64" s="22"/>
      <c r="Y64" s="22"/>
      <c r="Z64" s="22"/>
      <c r="AA64" s="22"/>
      <c r="AB64" s="22"/>
      <c r="AC64" s="22"/>
      <c r="AE64" s="22"/>
      <c r="AF64" s="23">
        <f t="shared" si="15"/>
        <v>7505968</v>
      </c>
      <c r="AI64" s="22">
        <v>450381</v>
      </c>
      <c r="AJ64" s="22"/>
      <c r="AK64" s="22">
        <v>91500</v>
      </c>
      <c r="AL64" s="22">
        <v>150200</v>
      </c>
      <c r="AM64" s="22"/>
      <c r="AN64" s="22"/>
      <c r="AO64" s="23">
        <f t="shared" si="16"/>
        <v>692081</v>
      </c>
      <c r="AR64" s="22">
        <v>312748</v>
      </c>
      <c r="AS64" s="22">
        <v>312748</v>
      </c>
      <c r="AT64" s="22">
        <v>9383</v>
      </c>
      <c r="AU64" s="23">
        <f t="shared" si="17"/>
        <v>634879</v>
      </c>
      <c r="AV64" s="25">
        <f t="shared" si="18"/>
        <v>1326960</v>
      </c>
      <c r="AX64" s="22"/>
      <c r="AY64" s="22"/>
      <c r="AZ64" s="22">
        <v>134000</v>
      </c>
      <c r="BD64" s="26">
        <f t="shared" si="19"/>
        <v>134000</v>
      </c>
      <c r="BG64" s="22">
        <f t="shared" si="20"/>
        <v>9002795.7119999994</v>
      </c>
      <c r="BH64" s="22">
        <f t="shared" si="21"/>
        <v>320000</v>
      </c>
      <c r="BI64" s="22">
        <f t="shared" si="22"/>
        <v>35867.712</v>
      </c>
      <c r="BJ64" s="22">
        <f t="shared" si="23"/>
        <v>60800</v>
      </c>
      <c r="BK64" s="22">
        <f t="shared" si="24"/>
        <v>9383595.7119999994</v>
      </c>
      <c r="BL64" s="27">
        <v>4000</v>
      </c>
      <c r="BM64" s="28">
        <f t="shared" si="25"/>
        <v>2250.6999999999998</v>
      </c>
      <c r="BN64" s="28">
        <v>80</v>
      </c>
      <c r="BO64" s="28">
        <f t="shared" si="26"/>
        <v>15.2</v>
      </c>
      <c r="BP64" s="28">
        <f t="shared" si="27"/>
        <v>2345.8999999999996</v>
      </c>
    </row>
    <row r="65" spans="1:68" x14ac:dyDescent="0.3">
      <c r="A65" s="18" t="s">
        <v>301</v>
      </c>
      <c r="B65" s="18" t="s">
        <v>302</v>
      </c>
      <c r="C65" s="18" t="s">
        <v>303</v>
      </c>
      <c r="D65" s="19">
        <v>45957.208518518513</v>
      </c>
      <c r="E65" s="19"/>
      <c r="F65" s="18" t="s">
        <v>69</v>
      </c>
      <c r="G65" s="18" t="s">
        <v>70</v>
      </c>
      <c r="H65" s="20" t="s">
        <v>304</v>
      </c>
      <c r="I65" s="20" t="s">
        <v>305</v>
      </c>
      <c r="J65" s="21" t="s">
        <v>73</v>
      </c>
      <c r="K65" s="20" t="s">
        <v>74</v>
      </c>
      <c r="L65" s="20">
        <f t="shared" si="14"/>
        <v>31.94</v>
      </c>
      <c r="M65" s="22">
        <v>2512431</v>
      </c>
      <c r="N65" s="22"/>
      <c r="O65" s="22"/>
      <c r="P65" s="22"/>
      <c r="Q65" s="22"/>
      <c r="R65" s="22"/>
      <c r="S65" s="22"/>
      <c r="T65" s="22"/>
      <c r="U65" s="22"/>
      <c r="V65" s="22"/>
      <c r="W65" s="22">
        <v>2744920</v>
      </c>
      <c r="X65" s="22"/>
      <c r="Y65" s="22"/>
      <c r="Z65" s="22">
        <v>232489</v>
      </c>
      <c r="AA65" s="22"/>
      <c r="AB65" s="22"/>
      <c r="AC65" s="22"/>
      <c r="AE65" s="22"/>
      <c r="AF65" s="23">
        <f t="shared" si="15"/>
        <v>5489840</v>
      </c>
      <c r="AI65" s="22">
        <v>301503</v>
      </c>
      <c r="AJ65" s="22"/>
      <c r="AK65" s="22">
        <v>57200</v>
      </c>
      <c r="AL65" s="22">
        <v>100500</v>
      </c>
      <c r="AM65" s="22"/>
      <c r="AN65" s="22"/>
      <c r="AO65" s="23">
        <f t="shared" si="16"/>
        <v>459203</v>
      </c>
      <c r="AR65" s="22">
        <v>230127</v>
      </c>
      <c r="AS65" s="22">
        <v>230127</v>
      </c>
      <c r="AT65" s="22">
        <v>6904</v>
      </c>
      <c r="AU65" s="23">
        <f t="shared" si="17"/>
        <v>467158</v>
      </c>
      <c r="AV65" s="25">
        <f t="shared" si="18"/>
        <v>926361</v>
      </c>
      <c r="AX65" s="22"/>
      <c r="AY65" s="22"/>
      <c r="AZ65" s="22"/>
      <c r="BD65" s="26">
        <f t="shared" si="19"/>
        <v>0</v>
      </c>
      <c r="BG65" s="22">
        <f t="shared" si="20"/>
        <v>6441865.8039999995</v>
      </c>
      <c r="BH65" s="22">
        <f t="shared" si="21"/>
        <v>320000</v>
      </c>
      <c r="BI65" s="22">
        <f t="shared" si="22"/>
        <v>25664.804</v>
      </c>
      <c r="BJ65" s="22">
        <f t="shared" si="23"/>
        <v>60800</v>
      </c>
      <c r="BK65" s="22">
        <f t="shared" si="24"/>
        <v>6822665.8039999995</v>
      </c>
      <c r="BL65" s="27">
        <v>4000</v>
      </c>
      <c r="BM65" s="28">
        <f t="shared" si="25"/>
        <v>1610.47</v>
      </c>
      <c r="BN65" s="28">
        <v>80</v>
      </c>
      <c r="BO65" s="28">
        <f t="shared" si="26"/>
        <v>15.2</v>
      </c>
      <c r="BP65" s="28">
        <f t="shared" si="27"/>
        <v>1705.67</v>
      </c>
    </row>
    <row r="66" spans="1:68" x14ac:dyDescent="0.3">
      <c r="A66" s="18" t="s">
        <v>306</v>
      </c>
      <c r="B66" s="18" t="s">
        <v>307</v>
      </c>
      <c r="C66" s="18" t="s">
        <v>308</v>
      </c>
      <c r="D66" s="19">
        <v>46013.208518518513</v>
      </c>
      <c r="E66" s="19"/>
      <c r="F66" s="18" t="s">
        <v>69</v>
      </c>
      <c r="G66" s="18" t="s">
        <v>70</v>
      </c>
      <c r="H66" s="20" t="s">
        <v>93</v>
      </c>
      <c r="I66" s="20" t="s">
        <v>94</v>
      </c>
      <c r="J66" s="21" t="s">
        <v>73</v>
      </c>
      <c r="K66" s="20" t="s">
        <v>74</v>
      </c>
      <c r="L66" s="20">
        <f t="shared" si="14"/>
        <v>31.94</v>
      </c>
      <c r="M66" s="22">
        <v>3500000</v>
      </c>
      <c r="N66" s="22"/>
      <c r="O66" s="22"/>
      <c r="P66" s="22"/>
      <c r="Q66" s="22"/>
      <c r="R66" s="22">
        <v>229091</v>
      </c>
      <c r="S66" s="22">
        <v>3464000</v>
      </c>
      <c r="T66" s="22"/>
      <c r="U66" s="22"/>
      <c r="V66" s="22"/>
      <c r="W66" s="22">
        <v>7442186</v>
      </c>
      <c r="X66" s="22"/>
      <c r="Y66" s="22"/>
      <c r="Z66" s="22">
        <v>249095</v>
      </c>
      <c r="AA66" s="22"/>
      <c r="AB66" s="22"/>
      <c r="AC66" s="22"/>
      <c r="AE66" s="22"/>
      <c r="AF66" s="23">
        <f t="shared" si="15"/>
        <v>14884372</v>
      </c>
      <c r="AI66" s="22">
        <v>863176</v>
      </c>
      <c r="AJ66" s="22"/>
      <c r="AK66" s="22">
        <v>37600</v>
      </c>
      <c r="AL66" s="22">
        <v>287800</v>
      </c>
      <c r="AM66" s="22"/>
      <c r="AN66" s="22"/>
      <c r="AO66" s="23">
        <f t="shared" si="16"/>
        <v>1188576</v>
      </c>
      <c r="AR66" s="22">
        <v>620182</v>
      </c>
      <c r="AS66" s="22">
        <v>620182</v>
      </c>
      <c r="AT66" s="22">
        <v>16111</v>
      </c>
      <c r="AU66" s="23">
        <f t="shared" si="17"/>
        <v>1256475</v>
      </c>
      <c r="AV66" s="25">
        <f t="shared" si="18"/>
        <v>2445051</v>
      </c>
      <c r="AX66" s="22"/>
      <c r="AY66" s="22"/>
      <c r="AZ66" s="22"/>
      <c r="BD66" s="26">
        <f t="shared" si="19"/>
        <v>0</v>
      </c>
      <c r="BG66" s="22">
        <f t="shared" si="20"/>
        <v>17398740.692000002</v>
      </c>
      <c r="BH66" s="22">
        <f t="shared" si="21"/>
        <v>320000</v>
      </c>
      <c r="BI66" s="22">
        <f t="shared" si="22"/>
        <v>69317.691999999995</v>
      </c>
      <c r="BJ66" s="22">
        <f t="shared" si="23"/>
        <v>60800</v>
      </c>
      <c r="BK66" s="22">
        <f t="shared" si="24"/>
        <v>17779540.692000002</v>
      </c>
      <c r="BL66" s="27">
        <v>4000</v>
      </c>
      <c r="BM66" s="28">
        <f t="shared" si="25"/>
        <v>4349.6899999999996</v>
      </c>
      <c r="BN66" s="28">
        <v>80</v>
      </c>
      <c r="BO66" s="28">
        <f t="shared" si="26"/>
        <v>15.2</v>
      </c>
      <c r="BP66" s="28">
        <f t="shared" si="27"/>
        <v>4444.8899999999994</v>
      </c>
    </row>
    <row r="67" spans="1:68" x14ac:dyDescent="0.3">
      <c r="A67" s="18" t="s">
        <v>309</v>
      </c>
      <c r="B67" s="18" t="s">
        <v>310</v>
      </c>
      <c r="C67" s="18" t="s">
        <v>311</v>
      </c>
      <c r="D67" s="19">
        <v>45992.208518518513</v>
      </c>
      <c r="E67" s="19"/>
      <c r="F67" s="18" t="s">
        <v>69</v>
      </c>
      <c r="G67" s="18" t="s">
        <v>70</v>
      </c>
      <c r="H67" s="20" t="s">
        <v>187</v>
      </c>
      <c r="I67" s="20" t="s">
        <v>188</v>
      </c>
      <c r="J67" s="21" t="s">
        <v>73</v>
      </c>
      <c r="K67" s="20" t="s">
        <v>74</v>
      </c>
      <c r="L67" s="20">
        <f t="shared" si="14"/>
        <v>31.94</v>
      </c>
      <c r="M67" s="22">
        <v>2700000</v>
      </c>
      <c r="N67" s="22"/>
      <c r="O67" s="22"/>
      <c r="P67" s="22"/>
      <c r="Q67" s="22"/>
      <c r="R67" s="22"/>
      <c r="S67" s="22"/>
      <c r="T67" s="22"/>
      <c r="U67" s="22"/>
      <c r="V67" s="22"/>
      <c r="W67" s="22">
        <v>2949095</v>
      </c>
      <c r="X67" s="22"/>
      <c r="Y67" s="22"/>
      <c r="Z67" s="22">
        <v>249095</v>
      </c>
      <c r="AA67" s="22"/>
      <c r="AB67" s="22"/>
      <c r="AC67" s="22"/>
      <c r="AE67" s="22"/>
      <c r="AF67" s="23">
        <f t="shared" si="15"/>
        <v>5898190</v>
      </c>
      <c r="AI67" s="22">
        <v>324000</v>
      </c>
      <c r="AJ67" s="22"/>
      <c r="AK67" s="22">
        <v>65800</v>
      </c>
      <c r="AL67" s="22">
        <v>108000</v>
      </c>
      <c r="AM67" s="22"/>
      <c r="AN67" s="22"/>
      <c r="AO67" s="23">
        <f t="shared" si="16"/>
        <v>497800</v>
      </c>
      <c r="AR67" s="22">
        <v>245758</v>
      </c>
      <c r="AS67" s="22">
        <v>245758</v>
      </c>
      <c r="AT67" s="22">
        <v>7372</v>
      </c>
      <c r="AU67" s="23">
        <f t="shared" si="17"/>
        <v>498888</v>
      </c>
      <c r="AV67" s="25">
        <f t="shared" si="18"/>
        <v>996688</v>
      </c>
      <c r="AX67" s="22"/>
      <c r="AY67" s="22"/>
      <c r="AZ67" s="22"/>
      <c r="BD67" s="26">
        <f t="shared" si="19"/>
        <v>0</v>
      </c>
      <c r="BG67" s="22">
        <f t="shared" si="20"/>
        <v>6922457.5120000001</v>
      </c>
      <c r="BH67" s="22">
        <f t="shared" si="21"/>
        <v>320000</v>
      </c>
      <c r="BI67" s="22">
        <f t="shared" si="22"/>
        <v>27579.511999999999</v>
      </c>
      <c r="BJ67" s="22">
        <f t="shared" si="23"/>
        <v>60800</v>
      </c>
      <c r="BK67" s="22">
        <f t="shared" si="24"/>
        <v>7303257.5120000001</v>
      </c>
      <c r="BL67" s="27">
        <v>4000</v>
      </c>
      <c r="BM67" s="28">
        <f t="shared" si="25"/>
        <v>1730.61</v>
      </c>
      <c r="BN67" s="28">
        <v>80</v>
      </c>
      <c r="BO67" s="28">
        <f t="shared" si="26"/>
        <v>15.2</v>
      </c>
      <c r="BP67" s="28">
        <f t="shared" si="27"/>
        <v>1825.81</v>
      </c>
    </row>
    <row r="68" spans="1:68" x14ac:dyDescent="0.3">
      <c r="A68" s="18" t="s">
        <v>312</v>
      </c>
      <c r="B68" s="18"/>
      <c r="C68" s="18" t="s">
        <v>313</v>
      </c>
      <c r="D68" s="19">
        <v>46057.208518518513</v>
      </c>
      <c r="E68" s="19"/>
      <c r="F68" s="18" t="s">
        <v>69</v>
      </c>
      <c r="G68" s="18" t="s">
        <v>70</v>
      </c>
      <c r="H68" s="20" t="s">
        <v>93</v>
      </c>
      <c r="I68" s="20" t="s">
        <v>94</v>
      </c>
      <c r="J68" s="21" t="s">
        <v>73</v>
      </c>
      <c r="K68" s="20" t="s">
        <v>74</v>
      </c>
      <c r="L68" s="20">
        <f t="shared" ref="L68:L84" si="28">IF(AL68&gt;0,31.94,14.44)</f>
        <v>31.94</v>
      </c>
      <c r="M68" s="22">
        <v>3150000</v>
      </c>
      <c r="N68" s="22"/>
      <c r="O68" s="22"/>
      <c r="P68" s="22"/>
      <c r="Q68" s="22"/>
      <c r="R68" s="22"/>
      <c r="S68" s="22"/>
      <c r="T68" s="22"/>
      <c r="U68" s="22"/>
      <c r="V68" s="22"/>
      <c r="W68" s="22">
        <v>3374185</v>
      </c>
      <c r="X68" s="22"/>
      <c r="Y68" s="22"/>
      <c r="Z68" s="22">
        <v>224185</v>
      </c>
      <c r="AA68" s="22"/>
      <c r="AB68" s="22"/>
      <c r="AC68" s="22"/>
      <c r="AE68" s="22"/>
      <c r="AF68" s="23">
        <f t="shared" ref="AF68:AF84" si="29">SUM(M68,O68,P68,Q68,R68,S68,T68,U68,V68,W68,X68,Y68,Z68,AA68,AB68,AC68,N68,AE68,AD68)</f>
        <v>6748370</v>
      </c>
      <c r="AI68" s="22">
        <v>378000</v>
      </c>
      <c r="AJ68" s="22"/>
      <c r="AK68" s="22">
        <v>16500</v>
      </c>
      <c r="AL68" s="22">
        <v>126000</v>
      </c>
      <c r="AM68" s="22"/>
      <c r="AN68" s="22"/>
      <c r="AO68" s="23">
        <f t="shared" ref="AO68:AO84" si="30">SUM(AL68,AJ68,AN68,AK68,AM68,AI68)</f>
        <v>520500</v>
      </c>
      <c r="AR68" s="22">
        <v>281182</v>
      </c>
      <c r="AS68" s="22">
        <v>281182</v>
      </c>
      <c r="AT68" s="22">
        <v>2531</v>
      </c>
      <c r="AU68" s="23">
        <f t="shared" ref="AU68:AU84" si="31">SUM(AR68,AS68,AT68)</f>
        <v>564895</v>
      </c>
      <c r="AV68" s="25">
        <f t="shared" ref="AV68:AV84" si="32">SUM(AO68,AU68)</f>
        <v>1085395</v>
      </c>
      <c r="AX68" s="22"/>
      <c r="AY68" s="22"/>
      <c r="AZ68" s="22">
        <v>104500</v>
      </c>
      <c r="BD68" s="26">
        <f t="shared" ref="BD68:BD84" si="33">SUM(AX68,AY68,AZ68,BA68,BB68,BC68,AD68)</f>
        <v>104500</v>
      </c>
      <c r="BG68" s="22">
        <f t="shared" ref="BG68:BG84" si="34">SUM(AF68,AO68,AU68,BD68,BI68)</f>
        <v>7970018.0599999996</v>
      </c>
      <c r="BH68" s="22">
        <f t="shared" ref="BH68:BH84" si="35">80*BL68</f>
        <v>320000</v>
      </c>
      <c r="BI68" s="22">
        <f t="shared" ref="BI68:BI84" si="36">(AF68+AO68+AU68+BD68)*0.004</f>
        <v>31753.06</v>
      </c>
      <c r="BJ68" s="22">
        <f t="shared" ref="BJ68:BJ84" si="37">BH68*0.19</f>
        <v>60800</v>
      </c>
      <c r="BK68" s="22">
        <f t="shared" ref="BK68:BK84" si="38">SUM(BG68,BH68,BJ68)</f>
        <v>8350818.0599999996</v>
      </c>
      <c r="BL68" s="27">
        <v>4000</v>
      </c>
      <c r="BM68" s="28">
        <f t="shared" ref="BM68:BM84" si="39">ROUND(BG68/BL68,2)</f>
        <v>1992.5</v>
      </c>
      <c r="BN68" s="28">
        <v>80</v>
      </c>
      <c r="BO68" s="28">
        <f t="shared" ref="BO68:BO84" si="40">ROUND(BJ68/BL68,2)</f>
        <v>15.2</v>
      </c>
      <c r="BP68" s="28">
        <f t="shared" ref="BP68:BP84" si="41">SUM(BM68,BN68,BO68)</f>
        <v>2087.6999999999998</v>
      </c>
    </row>
    <row r="69" spans="1:68" x14ac:dyDescent="0.3">
      <c r="A69" s="18" t="s">
        <v>314</v>
      </c>
      <c r="B69" s="18" t="s">
        <v>315</v>
      </c>
      <c r="C69" s="18" t="s">
        <v>316</v>
      </c>
      <c r="D69" s="19">
        <v>45881.208518518513</v>
      </c>
      <c r="E69" s="19"/>
      <c r="F69" s="18" t="s">
        <v>69</v>
      </c>
      <c r="G69" s="18" t="s">
        <v>70</v>
      </c>
      <c r="H69" s="20" t="s">
        <v>103</v>
      </c>
      <c r="I69" s="20" t="s">
        <v>104</v>
      </c>
      <c r="J69" s="21" t="s">
        <v>73</v>
      </c>
      <c r="K69" s="20" t="s">
        <v>74</v>
      </c>
      <c r="L69" s="20">
        <f t="shared" si="28"/>
        <v>31.94</v>
      </c>
      <c r="M69" s="22">
        <v>6049313</v>
      </c>
      <c r="N69" s="22"/>
      <c r="O69" s="22"/>
      <c r="P69" s="22"/>
      <c r="Q69" s="22"/>
      <c r="R69" s="22"/>
      <c r="S69" s="22"/>
      <c r="T69" s="22"/>
      <c r="U69" s="22"/>
      <c r="V69" s="22"/>
      <c r="W69" s="22">
        <v>6049313</v>
      </c>
      <c r="X69" s="22"/>
      <c r="Y69" s="22"/>
      <c r="Z69" s="22"/>
      <c r="AA69" s="22"/>
      <c r="AB69" s="22"/>
      <c r="AC69" s="22"/>
      <c r="AE69" s="22"/>
      <c r="AF69" s="23">
        <f t="shared" si="29"/>
        <v>12098626</v>
      </c>
      <c r="AI69" s="22">
        <v>725927</v>
      </c>
      <c r="AJ69" s="22"/>
      <c r="AK69" s="22">
        <v>147400</v>
      </c>
      <c r="AL69" s="22">
        <v>242000</v>
      </c>
      <c r="AM69" s="22"/>
      <c r="AN69" s="22"/>
      <c r="AO69" s="23">
        <f t="shared" si="30"/>
        <v>1115327</v>
      </c>
      <c r="AR69" s="22">
        <v>504110</v>
      </c>
      <c r="AS69" s="22">
        <v>504110</v>
      </c>
      <c r="AT69" s="22">
        <v>15123</v>
      </c>
      <c r="AU69" s="23">
        <f t="shared" si="31"/>
        <v>1023343</v>
      </c>
      <c r="AV69" s="25">
        <f t="shared" si="32"/>
        <v>2138670</v>
      </c>
      <c r="AX69" s="22"/>
      <c r="AY69" s="22"/>
      <c r="AZ69" s="22"/>
      <c r="BD69" s="26">
        <f t="shared" si="33"/>
        <v>0</v>
      </c>
      <c r="BG69" s="22">
        <f t="shared" si="34"/>
        <v>14294245.184</v>
      </c>
      <c r="BH69" s="22">
        <f t="shared" si="35"/>
        <v>320000</v>
      </c>
      <c r="BI69" s="22">
        <f t="shared" si="36"/>
        <v>56949.184000000001</v>
      </c>
      <c r="BJ69" s="22">
        <f t="shared" si="37"/>
        <v>60800</v>
      </c>
      <c r="BK69" s="22">
        <f t="shared" si="38"/>
        <v>14675045.184</v>
      </c>
      <c r="BL69" s="27">
        <v>4000</v>
      </c>
      <c r="BM69" s="28">
        <f t="shared" si="39"/>
        <v>3573.56</v>
      </c>
      <c r="BN69" s="28">
        <v>80</v>
      </c>
      <c r="BO69" s="28">
        <f t="shared" si="40"/>
        <v>15.2</v>
      </c>
      <c r="BP69" s="28">
        <f t="shared" si="41"/>
        <v>3668.7599999999998</v>
      </c>
    </row>
    <row r="70" spans="1:68" x14ac:dyDescent="0.3">
      <c r="A70" s="18" t="s">
        <v>317</v>
      </c>
      <c r="B70" s="18" t="s">
        <v>318</v>
      </c>
      <c r="C70" s="18" t="s">
        <v>319</v>
      </c>
      <c r="D70" s="19">
        <v>45520.208518518513</v>
      </c>
      <c r="E70" s="19"/>
      <c r="F70" s="18" t="s">
        <v>69</v>
      </c>
      <c r="G70" s="18" t="s">
        <v>70</v>
      </c>
      <c r="H70" s="20" t="s">
        <v>111</v>
      </c>
      <c r="I70" s="20" t="s">
        <v>112</v>
      </c>
      <c r="J70" s="21" t="s">
        <v>73</v>
      </c>
      <c r="K70" s="20" t="s">
        <v>74</v>
      </c>
      <c r="L70" s="20">
        <f t="shared" si="28"/>
        <v>31.94</v>
      </c>
      <c r="M70" s="22">
        <v>6960000</v>
      </c>
      <c r="N70" s="22"/>
      <c r="O70" s="22">
        <v>240000</v>
      </c>
      <c r="P70" s="22"/>
      <c r="Q70" s="22"/>
      <c r="R70" s="22"/>
      <c r="S70" s="22"/>
      <c r="T70" s="22"/>
      <c r="U70" s="22"/>
      <c r="V70" s="22"/>
      <c r="W70" s="22">
        <v>7200000</v>
      </c>
      <c r="X70" s="22"/>
      <c r="Y70" s="22"/>
      <c r="Z70" s="22"/>
      <c r="AA70" s="22"/>
      <c r="AB70" s="22"/>
      <c r="AC70" s="22"/>
      <c r="AE70" s="22"/>
      <c r="AF70" s="23">
        <f t="shared" si="29"/>
        <v>14400000</v>
      </c>
      <c r="AI70" s="22">
        <v>864000</v>
      </c>
      <c r="AJ70" s="22"/>
      <c r="AK70" s="22">
        <v>36400</v>
      </c>
      <c r="AL70" s="22">
        <v>278400</v>
      </c>
      <c r="AM70" s="22"/>
      <c r="AN70" s="22"/>
      <c r="AO70" s="23">
        <f t="shared" si="30"/>
        <v>1178800</v>
      </c>
      <c r="AR70" s="22">
        <v>600000</v>
      </c>
      <c r="AS70" s="22">
        <v>600000</v>
      </c>
      <c r="AT70" s="22">
        <v>18000</v>
      </c>
      <c r="AU70" s="23">
        <f t="shared" si="31"/>
        <v>1218000</v>
      </c>
      <c r="AV70" s="25">
        <f t="shared" si="32"/>
        <v>2396800</v>
      </c>
      <c r="AX70" s="22">
        <v>1219170</v>
      </c>
      <c r="AY70" s="22"/>
      <c r="AZ70" s="22"/>
      <c r="BD70" s="26">
        <f t="shared" si="33"/>
        <v>1219170</v>
      </c>
      <c r="BG70" s="22">
        <f t="shared" si="34"/>
        <v>18088033.879999999</v>
      </c>
      <c r="BH70" s="22">
        <f t="shared" si="35"/>
        <v>320000</v>
      </c>
      <c r="BI70" s="22">
        <f t="shared" si="36"/>
        <v>72063.88</v>
      </c>
      <c r="BJ70" s="22">
        <f t="shared" si="37"/>
        <v>60800</v>
      </c>
      <c r="BK70" s="22">
        <f t="shared" si="38"/>
        <v>18468833.879999999</v>
      </c>
      <c r="BL70" s="27">
        <v>4000</v>
      </c>
      <c r="BM70" s="28">
        <f t="shared" si="39"/>
        <v>4522.01</v>
      </c>
      <c r="BN70" s="28">
        <v>80</v>
      </c>
      <c r="BO70" s="28">
        <f t="shared" si="40"/>
        <v>15.2</v>
      </c>
      <c r="BP70" s="28">
        <f t="shared" si="41"/>
        <v>4617.21</v>
      </c>
    </row>
    <row r="71" spans="1:68" x14ac:dyDescent="0.3">
      <c r="A71" s="18" t="s">
        <v>320</v>
      </c>
      <c r="B71" s="18" t="s">
        <v>321</v>
      </c>
      <c r="C71" s="18" t="s">
        <v>322</v>
      </c>
      <c r="D71" s="19">
        <v>45840.208518518513</v>
      </c>
      <c r="E71" s="19"/>
      <c r="F71" s="18" t="s">
        <v>69</v>
      </c>
      <c r="G71" s="18" t="s">
        <v>70</v>
      </c>
      <c r="H71" s="20" t="s">
        <v>88</v>
      </c>
      <c r="I71" s="20" t="s">
        <v>89</v>
      </c>
      <c r="J71" s="21" t="s">
        <v>73</v>
      </c>
      <c r="K71" s="20" t="s">
        <v>74</v>
      </c>
      <c r="L71" s="20">
        <f t="shared" si="28"/>
        <v>31.94</v>
      </c>
      <c r="M71" s="22">
        <v>8459662</v>
      </c>
      <c r="N71" s="22"/>
      <c r="O71" s="22"/>
      <c r="P71" s="22"/>
      <c r="Q71" s="22"/>
      <c r="R71" s="22"/>
      <c r="S71" s="22"/>
      <c r="T71" s="22"/>
      <c r="U71" s="22"/>
      <c r="V71" s="22"/>
      <c r="W71" s="22">
        <v>8459662</v>
      </c>
      <c r="X71" s="22"/>
      <c r="Y71" s="22"/>
      <c r="Z71" s="22"/>
      <c r="AA71" s="22"/>
      <c r="AB71" s="22"/>
      <c r="AC71" s="22"/>
      <c r="AE71" s="22"/>
      <c r="AF71" s="23">
        <f t="shared" si="29"/>
        <v>16919324</v>
      </c>
      <c r="AI71" s="22">
        <v>1015214</v>
      </c>
      <c r="AJ71" s="22"/>
      <c r="AK71" s="22">
        <v>206100</v>
      </c>
      <c r="AL71" s="22">
        <v>338400</v>
      </c>
      <c r="AM71" s="22"/>
      <c r="AN71" s="22"/>
      <c r="AO71" s="23">
        <f t="shared" si="30"/>
        <v>1559714</v>
      </c>
      <c r="AR71" s="22">
        <v>704972</v>
      </c>
      <c r="AS71" s="22">
        <v>704972</v>
      </c>
      <c r="AT71" s="22">
        <v>21149</v>
      </c>
      <c r="AU71" s="23">
        <f t="shared" si="31"/>
        <v>1431093</v>
      </c>
      <c r="AV71" s="25">
        <f t="shared" si="32"/>
        <v>2990807</v>
      </c>
      <c r="AX71" s="22"/>
      <c r="AY71" s="22"/>
      <c r="AZ71" s="22"/>
      <c r="BD71" s="26">
        <f t="shared" si="33"/>
        <v>0</v>
      </c>
      <c r="BG71" s="22">
        <f t="shared" si="34"/>
        <v>19989771.524</v>
      </c>
      <c r="BH71" s="22">
        <f t="shared" si="35"/>
        <v>320000</v>
      </c>
      <c r="BI71" s="22">
        <f t="shared" si="36"/>
        <v>79640.524000000005</v>
      </c>
      <c r="BJ71" s="22">
        <f t="shared" si="37"/>
        <v>60800</v>
      </c>
      <c r="BK71" s="22">
        <f t="shared" si="38"/>
        <v>20370571.524</v>
      </c>
      <c r="BL71" s="27">
        <v>4000</v>
      </c>
      <c r="BM71" s="28">
        <f t="shared" si="39"/>
        <v>4997.4399999999996</v>
      </c>
      <c r="BN71" s="28">
        <v>80</v>
      </c>
      <c r="BO71" s="28">
        <f t="shared" si="40"/>
        <v>15.2</v>
      </c>
      <c r="BP71" s="28">
        <f t="shared" si="41"/>
        <v>5092.6399999999994</v>
      </c>
    </row>
    <row r="72" spans="1:68" x14ac:dyDescent="0.3">
      <c r="A72" s="18" t="s">
        <v>323</v>
      </c>
      <c r="B72" s="18" t="s">
        <v>324</v>
      </c>
      <c r="C72" s="18" t="s">
        <v>325</v>
      </c>
      <c r="D72" s="19">
        <v>45152.208518518513</v>
      </c>
      <c r="E72" s="19"/>
      <c r="F72" s="18" t="s">
        <v>69</v>
      </c>
      <c r="G72" s="18" t="s">
        <v>70</v>
      </c>
      <c r="H72" s="20" t="s">
        <v>326</v>
      </c>
      <c r="I72" s="20" t="s">
        <v>327</v>
      </c>
      <c r="J72" s="21" t="s">
        <v>73</v>
      </c>
      <c r="K72" s="20" t="s">
        <v>74</v>
      </c>
      <c r="L72" s="20">
        <f t="shared" si="28"/>
        <v>31.94</v>
      </c>
      <c r="M72" s="22">
        <v>22761765</v>
      </c>
      <c r="N72" s="22"/>
      <c r="O72" s="22"/>
      <c r="P72" s="22"/>
      <c r="Q72" s="22"/>
      <c r="R72" s="22"/>
      <c r="S72" s="22"/>
      <c r="T72" s="22"/>
      <c r="U72" s="22"/>
      <c r="V72" s="22"/>
      <c r="W72" s="22">
        <v>22761765</v>
      </c>
      <c r="X72" s="22"/>
      <c r="Y72" s="22"/>
      <c r="Z72" s="22"/>
      <c r="AA72" s="22"/>
      <c r="AB72" s="22"/>
      <c r="AC72" s="22"/>
      <c r="AE72" s="22"/>
      <c r="AF72" s="23">
        <f t="shared" si="29"/>
        <v>45523530</v>
      </c>
      <c r="AI72" s="22">
        <v>1912071</v>
      </c>
      <c r="AJ72" s="22">
        <v>1354371</v>
      </c>
      <c r="AK72" s="22">
        <v>388200</v>
      </c>
      <c r="AL72" s="22">
        <v>637400</v>
      </c>
      <c r="AM72" s="22">
        <v>318700</v>
      </c>
      <c r="AN72" s="22">
        <v>478000</v>
      </c>
      <c r="AO72" s="23">
        <f t="shared" si="30"/>
        <v>5088742</v>
      </c>
      <c r="AR72" s="22"/>
      <c r="AS72" s="22"/>
      <c r="AT72" s="22"/>
      <c r="AU72" s="23">
        <f t="shared" si="31"/>
        <v>0</v>
      </c>
      <c r="AV72" s="25">
        <f t="shared" si="32"/>
        <v>5088742</v>
      </c>
      <c r="AX72" s="22"/>
      <c r="AY72" s="22"/>
      <c r="AZ72" s="22"/>
      <c r="BD72" s="26">
        <f t="shared" si="33"/>
        <v>0</v>
      </c>
      <c r="BG72" s="22">
        <f t="shared" si="34"/>
        <v>50814721.088</v>
      </c>
      <c r="BH72" s="22">
        <f t="shared" si="35"/>
        <v>320000</v>
      </c>
      <c r="BI72" s="22">
        <f t="shared" si="36"/>
        <v>202449.08800000002</v>
      </c>
      <c r="BJ72" s="22">
        <f t="shared" si="37"/>
        <v>60800</v>
      </c>
      <c r="BK72" s="22">
        <f t="shared" si="38"/>
        <v>51195521.088</v>
      </c>
      <c r="BL72" s="27">
        <v>4000</v>
      </c>
      <c r="BM72" s="28">
        <f t="shared" si="39"/>
        <v>12703.68</v>
      </c>
      <c r="BN72" s="28">
        <v>80</v>
      </c>
      <c r="BO72" s="28">
        <f t="shared" si="40"/>
        <v>15.2</v>
      </c>
      <c r="BP72" s="28">
        <f t="shared" si="41"/>
        <v>12798.880000000001</v>
      </c>
    </row>
    <row r="73" spans="1:68" x14ac:dyDescent="0.3">
      <c r="A73" s="18" t="s">
        <v>328</v>
      </c>
      <c r="B73" s="18" t="s">
        <v>329</v>
      </c>
      <c r="C73" s="18" t="s">
        <v>330</v>
      </c>
      <c r="D73" s="19">
        <v>45721.208518518513</v>
      </c>
      <c r="E73" s="19"/>
      <c r="F73" s="18" t="s">
        <v>69</v>
      </c>
      <c r="G73" s="18" t="s">
        <v>70</v>
      </c>
      <c r="H73" s="20" t="s">
        <v>111</v>
      </c>
      <c r="I73" s="20" t="s">
        <v>112</v>
      </c>
      <c r="J73" s="21" t="s">
        <v>73</v>
      </c>
      <c r="K73" s="20" t="s">
        <v>74</v>
      </c>
      <c r="L73" s="20">
        <f t="shared" si="28"/>
        <v>31.94</v>
      </c>
      <c r="M73" s="22">
        <v>7200000</v>
      </c>
      <c r="N73" s="22"/>
      <c r="O73" s="22"/>
      <c r="P73" s="22"/>
      <c r="Q73" s="22"/>
      <c r="R73" s="22"/>
      <c r="S73" s="22"/>
      <c r="T73" s="22"/>
      <c r="U73" s="22"/>
      <c r="V73" s="22"/>
      <c r="W73" s="22">
        <v>7200000</v>
      </c>
      <c r="X73" s="22"/>
      <c r="Y73" s="22"/>
      <c r="Z73" s="22"/>
      <c r="AA73" s="22"/>
      <c r="AB73" s="22"/>
      <c r="AC73" s="22"/>
      <c r="AE73" s="22"/>
      <c r="AF73" s="23">
        <f t="shared" si="29"/>
        <v>14400000</v>
      </c>
      <c r="AI73" s="22">
        <v>864000</v>
      </c>
      <c r="AJ73" s="22"/>
      <c r="AK73" s="22">
        <v>37600</v>
      </c>
      <c r="AL73" s="22">
        <v>288000</v>
      </c>
      <c r="AM73" s="22"/>
      <c r="AN73" s="22"/>
      <c r="AO73" s="23">
        <f t="shared" si="30"/>
        <v>1189600</v>
      </c>
      <c r="AR73" s="22">
        <v>600000</v>
      </c>
      <c r="AS73" s="22">
        <v>600000</v>
      </c>
      <c r="AT73" s="22">
        <v>18000</v>
      </c>
      <c r="AU73" s="23">
        <f t="shared" si="31"/>
        <v>1218000</v>
      </c>
      <c r="AV73" s="25">
        <f t="shared" si="32"/>
        <v>2407600</v>
      </c>
      <c r="AX73" s="22"/>
      <c r="AY73" s="22"/>
      <c r="AZ73" s="22"/>
      <c r="BD73" s="26">
        <f t="shared" si="33"/>
        <v>0</v>
      </c>
      <c r="BG73" s="22">
        <f t="shared" si="34"/>
        <v>16874830.399999999</v>
      </c>
      <c r="BH73" s="22">
        <f t="shared" si="35"/>
        <v>320000</v>
      </c>
      <c r="BI73" s="22">
        <f t="shared" si="36"/>
        <v>67230.399999999994</v>
      </c>
      <c r="BJ73" s="22">
        <f t="shared" si="37"/>
        <v>60800</v>
      </c>
      <c r="BK73" s="22">
        <f t="shared" si="38"/>
        <v>17255630.399999999</v>
      </c>
      <c r="BL73" s="27">
        <v>4000</v>
      </c>
      <c r="BM73" s="28">
        <f t="shared" si="39"/>
        <v>4218.71</v>
      </c>
      <c r="BN73" s="28">
        <v>80</v>
      </c>
      <c r="BO73" s="28">
        <f t="shared" si="40"/>
        <v>15.2</v>
      </c>
      <c r="BP73" s="28">
        <f t="shared" si="41"/>
        <v>4313.91</v>
      </c>
    </row>
    <row r="74" spans="1:68" x14ac:dyDescent="0.3">
      <c r="A74" s="18" t="s">
        <v>331</v>
      </c>
      <c r="B74" s="18" t="s">
        <v>332</v>
      </c>
      <c r="C74" s="18" t="s">
        <v>333</v>
      </c>
      <c r="D74" s="19">
        <v>45681.208518518513</v>
      </c>
      <c r="E74" s="19"/>
      <c r="F74" s="18" t="s">
        <v>69</v>
      </c>
      <c r="G74" s="18" t="s">
        <v>70</v>
      </c>
      <c r="H74" s="20" t="s">
        <v>93</v>
      </c>
      <c r="I74" s="20" t="s">
        <v>94</v>
      </c>
      <c r="J74" s="21" t="s">
        <v>73</v>
      </c>
      <c r="K74" s="20" t="s">
        <v>74</v>
      </c>
      <c r="L74" s="20">
        <f t="shared" si="28"/>
        <v>31.94</v>
      </c>
      <c r="M74" s="22">
        <v>4000000</v>
      </c>
      <c r="N74" s="22"/>
      <c r="O74" s="22"/>
      <c r="P74" s="22"/>
      <c r="Q74" s="22"/>
      <c r="R74" s="22">
        <v>261818</v>
      </c>
      <c r="S74" s="22"/>
      <c r="T74" s="22"/>
      <c r="U74" s="22"/>
      <c r="V74" s="22"/>
      <c r="W74" s="22">
        <v>4261818</v>
      </c>
      <c r="X74" s="22"/>
      <c r="Y74" s="22"/>
      <c r="Z74" s="22"/>
      <c r="AA74" s="22"/>
      <c r="AB74" s="22"/>
      <c r="AC74" s="22"/>
      <c r="AE74" s="22"/>
      <c r="AF74" s="23">
        <f t="shared" si="29"/>
        <v>8523636</v>
      </c>
      <c r="AI74" s="22">
        <v>511427</v>
      </c>
      <c r="AJ74" s="22"/>
      <c r="AK74" s="22">
        <v>22300</v>
      </c>
      <c r="AL74" s="22">
        <v>170500</v>
      </c>
      <c r="AM74" s="22"/>
      <c r="AN74" s="22"/>
      <c r="AO74" s="23">
        <f t="shared" si="30"/>
        <v>704227</v>
      </c>
      <c r="AR74" s="22">
        <v>355151</v>
      </c>
      <c r="AS74" s="22">
        <v>355151</v>
      </c>
      <c r="AT74" s="22">
        <v>10654</v>
      </c>
      <c r="AU74" s="23">
        <f t="shared" si="31"/>
        <v>720956</v>
      </c>
      <c r="AV74" s="25">
        <f t="shared" si="32"/>
        <v>1425183</v>
      </c>
      <c r="AX74" s="22"/>
      <c r="AY74" s="22"/>
      <c r="AZ74" s="22"/>
      <c r="BD74" s="26">
        <f t="shared" si="33"/>
        <v>0</v>
      </c>
      <c r="BG74" s="22">
        <f t="shared" si="34"/>
        <v>9988614.2760000005</v>
      </c>
      <c r="BH74" s="22">
        <f t="shared" si="35"/>
        <v>320000</v>
      </c>
      <c r="BI74" s="22">
        <f t="shared" si="36"/>
        <v>39795.275999999998</v>
      </c>
      <c r="BJ74" s="22">
        <f t="shared" si="37"/>
        <v>60800</v>
      </c>
      <c r="BK74" s="22">
        <f t="shared" si="38"/>
        <v>10369414.276000001</v>
      </c>
      <c r="BL74" s="27">
        <v>4000</v>
      </c>
      <c r="BM74" s="28">
        <f t="shared" si="39"/>
        <v>2497.15</v>
      </c>
      <c r="BN74" s="28">
        <v>80</v>
      </c>
      <c r="BO74" s="28">
        <f t="shared" si="40"/>
        <v>15.2</v>
      </c>
      <c r="BP74" s="28">
        <f t="shared" si="41"/>
        <v>2592.35</v>
      </c>
    </row>
    <row r="75" spans="1:68" x14ac:dyDescent="0.3">
      <c r="A75" s="18" t="s">
        <v>334</v>
      </c>
      <c r="B75" s="18" t="s">
        <v>335</v>
      </c>
      <c r="C75" s="18" t="s">
        <v>336</v>
      </c>
      <c r="D75" s="19">
        <v>45139.208518518513</v>
      </c>
      <c r="E75" s="19"/>
      <c r="F75" s="18" t="s">
        <v>69</v>
      </c>
      <c r="G75" s="18" t="s">
        <v>70</v>
      </c>
      <c r="H75" s="20" t="s">
        <v>337</v>
      </c>
      <c r="I75" s="20" t="s">
        <v>338</v>
      </c>
      <c r="J75" s="21" t="s">
        <v>73</v>
      </c>
      <c r="K75" s="20" t="s">
        <v>74</v>
      </c>
      <c r="L75" s="20">
        <f t="shared" si="28"/>
        <v>31.94</v>
      </c>
      <c r="M75" s="22">
        <v>9957308</v>
      </c>
      <c r="N75" s="22"/>
      <c r="O75" s="22"/>
      <c r="P75" s="22"/>
      <c r="Q75" s="22"/>
      <c r="R75" s="22"/>
      <c r="S75" s="22"/>
      <c r="T75" s="22"/>
      <c r="U75" s="22"/>
      <c r="V75" s="22"/>
      <c r="W75" s="22">
        <v>9957308</v>
      </c>
      <c r="X75" s="22"/>
      <c r="Y75" s="22"/>
      <c r="Z75" s="22"/>
      <c r="AA75" s="22"/>
      <c r="AB75" s="22"/>
      <c r="AC75" s="22"/>
      <c r="AE75" s="22"/>
      <c r="AF75" s="23">
        <f t="shared" si="29"/>
        <v>19914616</v>
      </c>
      <c r="AI75" s="22">
        <v>1194908</v>
      </c>
      <c r="AJ75" s="22"/>
      <c r="AK75" s="22">
        <v>242600</v>
      </c>
      <c r="AL75" s="22">
        <v>398300</v>
      </c>
      <c r="AM75" s="22"/>
      <c r="AN75" s="22"/>
      <c r="AO75" s="23">
        <f t="shared" si="30"/>
        <v>1835808</v>
      </c>
      <c r="AR75" s="22">
        <v>829775</v>
      </c>
      <c r="AS75" s="22">
        <v>829775</v>
      </c>
      <c r="AT75" s="22">
        <v>24893</v>
      </c>
      <c r="AU75" s="23">
        <f t="shared" si="31"/>
        <v>1684443</v>
      </c>
      <c r="AV75" s="25">
        <f t="shared" si="32"/>
        <v>3520251</v>
      </c>
      <c r="AX75" s="22"/>
      <c r="AY75" s="22"/>
      <c r="AZ75" s="22"/>
      <c r="BD75" s="26">
        <f t="shared" si="33"/>
        <v>0</v>
      </c>
      <c r="BG75" s="22">
        <f t="shared" si="34"/>
        <v>23528606.467999998</v>
      </c>
      <c r="BH75" s="22">
        <f t="shared" si="35"/>
        <v>320000</v>
      </c>
      <c r="BI75" s="22">
        <f t="shared" si="36"/>
        <v>93739.468000000008</v>
      </c>
      <c r="BJ75" s="22">
        <f t="shared" si="37"/>
        <v>60800</v>
      </c>
      <c r="BK75" s="22">
        <f t="shared" si="38"/>
        <v>23909406.467999998</v>
      </c>
      <c r="BL75" s="27">
        <v>4000</v>
      </c>
      <c r="BM75" s="28">
        <f t="shared" si="39"/>
        <v>5882.15</v>
      </c>
      <c r="BN75" s="28">
        <v>80</v>
      </c>
      <c r="BO75" s="28">
        <f t="shared" si="40"/>
        <v>15.2</v>
      </c>
      <c r="BP75" s="28">
        <f t="shared" si="41"/>
        <v>5977.3499999999995</v>
      </c>
    </row>
    <row r="76" spans="1:68" x14ac:dyDescent="0.3">
      <c r="A76" s="18" t="s">
        <v>339</v>
      </c>
      <c r="B76" s="18" t="s">
        <v>340</v>
      </c>
      <c r="C76" s="18" t="s">
        <v>341</v>
      </c>
      <c r="D76" s="19">
        <v>45887.208518518513</v>
      </c>
      <c r="E76" s="19"/>
      <c r="F76" s="18" t="s">
        <v>69</v>
      </c>
      <c r="G76" s="18" t="s">
        <v>70</v>
      </c>
      <c r="H76" s="20" t="s">
        <v>342</v>
      </c>
      <c r="I76" s="20" t="s">
        <v>343</v>
      </c>
      <c r="J76" s="21" t="s">
        <v>73</v>
      </c>
      <c r="K76" s="20" t="s">
        <v>74</v>
      </c>
      <c r="L76" s="20">
        <f t="shared" si="28"/>
        <v>31.94</v>
      </c>
      <c r="M76" s="22">
        <v>3200000</v>
      </c>
      <c r="N76" s="22"/>
      <c r="O76" s="22"/>
      <c r="P76" s="22"/>
      <c r="Q76" s="22"/>
      <c r="R76" s="22"/>
      <c r="S76" s="22"/>
      <c r="T76" s="22"/>
      <c r="U76" s="22"/>
      <c r="V76" s="22"/>
      <c r="W76" s="22">
        <v>3449095</v>
      </c>
      <c r="X76" s="22"/>
      <c r="Y76" s="22"/>
      <c r="Z76" s="22">
        <v>249095</v>
      </c>
      <c r="AA76" s="22"/>
      <c r="AB76" s="22"/>
      <c r="AC76" s="22"/>
      <c r="AE76" s="22"/>
      <c r="AF76" s="23">
        <f t="shared" si="29"/>
        <v>6898190</v>
      </c>
      <c r="AI76" s="22">
        <v>384000</v>
      </c>
      <c r="AJ76" s="22"/>
      <c r="AK76" s="22">
        <v>78000</v>
      </c>
      <c r="AL76" s="22">
        <v>128000</v>
      </c>
      <c r="AM76" s="22"/>
      <c r="AN76" s="22"/>
      <c r="AO76" s="23">
        <f t="shared" si="30"/>
        <v>590000</v>
      </c>
      <c r="AR76" s="22">
        <v>287424</v>
      </c>
      <c r="AS76" s="22">
        <v>287424</v>
      </c>
      <c r="AT76" s="22">
        <v>8623</v>
      </c>
      <c r="AU76" s="23">
        <f t="shared" si="31"/>
        <v>583471</v>
      </c>
      <c r="AV76" s="25">
        <f t="shared" si="32"/>
        <v>1173471</v>
      </c>
      <c r="AX76" s="22"/>
      <c r="AY76" s="22"/>
      <c r="AZ76" s="22"/>
      <c r="BD76" s="26">
        <f t="shared" si="33"/>
        <v>0</v>
      </c>
      <c r="BG76" s="22">
        <f t="shared" si="34"/>
        <v>8103947.6440000003</v>
      </c>
      <c r="BH76" s="22">
        <f t="shared" si="35"/>
        <v>320000</v>
      </c>
      <c r="BI76" s="22">
        <f t="shared" si="36"/>
        <v>32286.644</v>
      </c>
      <c r="BJ76" s="22">
        <f t="shared" si="37"/>
        <v>60800</v>
      </c>
      <c r="BK76" s="22">
        <f t="shared" si="38"/>
        <v>8484747.6440000013</v>
      </c>
      <c r="BL76" s="27">
        <v>4000</v>
      </c>
      <c r="BM76" s="28">
        <f t="shared" si="39"/>
        <v>2025.99</v>
      </c>
      <c r="BN76" s="28">
        <v>80</v>
      </c>
      <c r="BO76" s="28">
        <f t="shared" si="40"/>
        <v>15.2</v>
      </c>
      <c r="BP76" s="28">
        <f t="shared" si="41"/>
        <v>2121.1899999999996</v>
      </c>
    </row>
    <row r="77" spans="1:68" x14ac:dyDescent="0.3">
      <c r="A77" s="18" t="s">
        <v>344</v>
      </c>
      <c r="B77" s="18" t="s">
        <v>345</v>
      </c>
      <c r="C77" s="18" t="s">
        <v>346</v>
      </c>
      <c r="D77" s="19">
        <v>45889.208518518513</v>
      </c>
      <c r="E77" s="19"/>
      <c r="F77" s="18" t="s">
        <v>69</v>
      </c>
      <c r="G77" s="18" t="s">
        <v>70</v>
      </c>
      <c r="H77" s="20" t="s">
        <v>342</v>
      </c>
      <c r="I77" s="20" t="s">
        <v>343</v>
      </c>
      <c r="J77" s="21" t="s">
        <v>73</v>
      </c>
      <c r="K77" s="20" t="s">
        <v>74</v>
      </c>
      <c r="L77" s="20">
        <f t="shared" si="28"/>
        <v>31.94</v>
      </c>
      <c r="M77" s="22">
        <v>4000000</v>
      </c>
      <c r="N77" s="22"/>
      <c r="O77" s="22"/>
      <c r="P77" s="22"/>
      <c r="Q77" s="22"/>
      <c r="R77" s="22"/>
      <c r="S77" s="22"/>
      <c r="T77" s="22"/>
      <c r="U77" s="22"/>
      <c r="V77" s="22"/>
      <c r="W77" s="22">
        <v>4000000</v>
      </c>
      <c r="X77" s="22"/>
      <c r="Y77" s="22"/>
      <c r="Z77" s="22"/>
      <c r="AA77" s="22"/>
      <c r="AB77" s="22"/>
      <c r="AC77" s="22"/>
      <c r="AE77" s="22"/>
      <c r="AF77" s="23">
        <f t="shared" si="29"/>
        <v>8000000</v>
      </c>
      <c r="AI77" s="22">
        <v>480000</v>
      </c>
      <c r="AJ77" s="22"/>
      <c r="AK77" s="22">
        <v>97500</v>
      </c>
      <c r="AL77" s="22">
        <v>160000</v>
      </c>
      <c r="AM77" s="22"/>
      <c r="AN77" s="22"/>
      <c r="AO77" s="23">
        <f t="shared" si="30"/>
        <v>737500</v>
      </c>
      <c r="AR77" s="22">
        <v>333334</v>
      </c>
      <c r="AS77" s="22">
        <v>333334</v>
      </c>
      <c r="AT77" s="22">
        <v>10000</v>
      </c>
      <c r="AU77" s="23">
        <f t="shared" si="31"/>
        <v>676668</v>
      </c>
      <c r="AV77" s="25">
        <f t="shared" si="32"/>
        <v>1414168</v>
      </c>
      <c r="AX77" s="22"/>
      <c r="AY77" s="22"/>
      <c r="AZ77" s="22"/>
      <c r="BD77" s="26">
        <f t="shared" si="33"/>
        <v>0</v>
      </c>
      <c r="BG77" s="22">
        <f t="shared" si="34"/>
        <v>9451824.6720000003</v>
      </c>
      <c r="BH77" s="22">
        <f t="shared" si="35"/>
        <v>320000</v>
      </c>
      <c r="BI77" s="22">
        <f t="shared" si="36"/>
        <v>37656.671999999999</v>
      </c>
      <c r="BJ77" s="22">
        <f t="shared" si="37"/>
        <v>60800</v>
      </c>
      <c r="BK77" s="22">
        <f t="shared" si="38"/>
        <v>9832624.6720000003</v>
      </c>
      <c r="BL77" s="27">
        <v>4000</v>
      </c>
      <c r="BM77" s="28">
        <f t="shared" si="39"/>
        <v>2362.96</v>
      </c>
      <c r="BN77" s="28">
        <v>80</v>
      </c>
      <c r="BO77" s="28">
        <f t="shared" si="40"/>
        <v>15.2</v>
      </c>
      <c r="BP77" s="28">
        <f t="shared" si="41"/>
        <v>2458.16</v>
      </c>
    </row>
    <row r="78" spans="1:68" x14ac:dyDescent="0.3">
      <c r="A78" s="18" t="s">
        <v>347</v>
      </c>
      <c r="B78" s="18" t="s">
        <v>348</v>
      </c>
      <c r="C78" s="18" t="s">
        <v>349</v>
      </c>
      <c r="D78" s="19">
        <v>45792.208518518513</v>
      </c>
      <c r="E78" s="19"/>
      <c r="F78" s="18" t="s">
        <v>69</v>
      </c>
      <c r="G78" s="18" t="s">
        <v>70</v>
      </c>
      <c r="H78" s="20" t="s">
        <v>350</v>
      </c>
      <c r="I78" s="20" t="s">
        <v>351</v>
      </c>
      <c r="J78" s="21" t="s">
        <v>73</v>
      </c>
      <c r="K78" s="20" t="s">
        <v>74</v>
      </c>
      <c r="L78" s="20">
        <f t="shared" si="28"/>
        <v>31.94</v>
      </c>
      <c r="M78" s="22">
        <v>26250000</v>
      </c>
      <c r="N78" s="22"/>
      <c r="O78" s="22"/>
      <c r="P78" s="22"/>
      <c r="Q78" s="22"/>
      <c r="R78" s="22"/>
      <c r="S78" s="22"/>
      <c r="T78" s="22">
        <v>596627</v>
      </c>
      <c r="U78" s="22"/>
      <c r="V78" s="22"/>
      <c r="W78" s="22">
        <v>26250000</v>
      </c>
      <c r="X78" s="22"/>
      <c r="Y78" s="22"/>
      <c r="Z78" s="22"/>
      <c r="AA78" s="22"/>
      <c r="AB78" s="22"/>
      <c r="AC78" s="22"/>
      <c r="AE78" s="22"/>
      <c r="AF78" s="23">
        <f t="shared" si="29"/>
        <v>53096627</v>
      </c>
      <c r="AI78" s="22">
        <v>3150000</v>
      </c>
      <c r="AJ78" s="22">
        <v>2231300</v>
      </c>
      <c r="AK78" s="22">
        <v>639500</v>
      </c>
      <c r="AL78" s="22">
        <v>1050000</v>
      </c>
      <c r="AM78" s="22">
        <v>525000</v>
      </c>
      <c r="AN78" s="22">
        <v>787500</v>
      </c>
      <c r="AO78" s="23">
        <f t="shared" si="30"/>
        <v>8383300</v>
      </c>
      <c r="AR78" s="22">
        <v>2187500</v>
      </c>
      <c r="AS78" s="22">
        <v>2187500</v>
      </c>
      <c r="AT78" s="22">
        <v>60834</v>
      </c>
      <c r="AU78" s="23">
        <f t="shared" si="31"/>
        <v>4435834</v>
      </c>
      <c r="AV78" s="25">
        <f t="shared" si="32"/>
        <v>12819134</v>
      </c>
      <c r="AX78" s="22"/>
      <c r="AY78" s="22"/>
      <c r="AZ78" s="22"/>
      <c r="BD78" s="26">
        <f t="shared" si="33"/>
        <v>0</v>
      </c>
      <c r="BG78" s="22">
        <f t="shared" si="34"/>
        <v>66179424.044</v>
      </c>
      <c r="BH78" s="22">
        <f t="shared" si="35"/>
        <v>320000</v>
      </c>
      <c r="BI78" s="22">
        <f t="shared" si="36"/>
        <v>263663.04399999999</v>
      </c>
      <c r="BJ78" s="22">
        <f t="shared" si="37"/>
        <v>60800</v>
      </c>
      <c r="BK78" s="22">
        <f t="shared" si="38"/>
        <v>66560224.044</v>
      </c>
      <c r="BL78" s="27">
        <v>4000</v>
      </c>
      <c r="BM78" s="28">
        <f t="shared" si="39"/>
        <v>16544.86</v>
      </c>
      <c r="BN78" s="28">
        <v>80</v>
      </c>
      <c r="BO78" s="28">
        <f t="shared" si="40"/>
        <v>15.2</v>
      </c>
      <c r="BP78" s="28">
        <f t="shared" si="41"/>
        <v>16640.060000000001</v>
      </c>
    </row>
    <row r="79" spans="1:68" x14ac:dyDescent="0.3">
      <c r="A79" s="18" t="s">
        <v>352</v>
      </c>
      <c r="B79" s="18" t="s">
        <v>353</v>
      </c>
      <c r="C79" s="18" t="s">
        <v>354</v>
      </c>
      <c r="D79" s="19">
        <v>45748.208518518513</v>
      </c>
      <c r="E79" s="19"/>
      <c r="F79" s="18" t="s">
        <v>69</v>
      </c>
      <c r="G79" s="18" t="s">
        <v>70</v>
      </c>
      <c r="H79" s="20" t="s">
        <v>134</v>
      </c>
      <c r="I79" s="20" t="s">
        <v>135</v>
      </c>
      <c r="J79" s="21" t="s">
        <v>73</v>
      </c>
      <c r="K79" s="20" t="s">
        <v>74</v>
      </c>
      <c r="L79" s="20">
        <f t="shared" si="28"/>
        <v>31.94</v>
      </c>
      <c r="M79" s="22">
        <v>8671575</v>
      </c>
      <c r="N79" s="22"/>
      <c r="O79" s="22"/>
      <c r="P79" s="22"/>
      <c r="Q79" s="22"/>
      <c r="R79" s="22"/>
      <c r="S79" s="22"/>
      <c r="T79" s="22"/>
      <c r="U79" s="22"/>
      <c r="V79" s="22"/>
      <c r="W79" s="22">
        <v>8671575</v>
      </c>
      <c r="X79" s="22"/>
      <c r="Y79" s="22"/>
      <c r="Z79" s="22"/>
      <c r="AA79" s="22"/>
      <c r="AB79" s="22"/>
      <c r="AC79" s="22"/>
      <c r="AE79" s="22"/>
      <c r="AF79" s="23">
        <f t="shared" si="29"/>
        <v>17343150</v>
      </c>
      <c r="AI79" s="22">
        <v>1040638</v>
      </c>
      <c r="AJ79" s="22"/>
      <c r="AK79" s="22">
        <v>155000</v>
      </c>
      <c r="AL79" s="22">
        <v>347000</v>
      </c>
      <c r="AM79" s="22"/>
      <c r="AN79" s="22"/>
      <c r="AO79" s="23">
        <f t="shared" si="30"/>
        <v>1542638</v>
      </c>
      <c r="AR79" s="22">
        <v>722632</v>
      </c>
      <c r="AS79" s="22">
        <v>722632</v>
      </c>
      <c r="AT79" s="22">
        <v>21679</v>
      </c>
      <c r="AU79" s="23">
        <f t="shared" si="31"/>
        <v>1466943</v>
      </c>
      <c r="AV79" s="25">
        <f t="shared" si="32"/>
        <v>3009581</v>
      </c>
      <c r="AX79" s="22"/>
      <c r="AY79" s="22">
        <v>420575</v>
      </c>
      <c r="AZ79" s="22"/>
      <c r="BD79" s="26">
        <f t="shared" si="33"/>
        <v>420575</v>
      </c>
      <c r="BG79" s="22">
        <f t="shared" si="34"/>
        <v>20856399.223999999</v>
      </c>
      <c r="BH79" s="22">
        <f t="shared" si="35"/>
        <v>320000</v>
      </c>
      <c r="BI79" s="22">
        <f t="shared" si="36"/>
        <v>83093.224000000002</v>
      </c>
      <c r="BJ79" s="22">
        <f t="shared" si="37"/>
        <v>60800</v>
      </c>
      <c r="BK79" s="22">
        <f t="shared" si="38"/>
        <v>21237199.223999999</v>
      </c>
      <c r="BL79" s="27">
        <v>4000</v>
      </c>
      <c r="BM79" s="28">
        <f t="shared" si="39"/>
        <v>5214.1000000000004</v>
      </c>
      <c r="BN79" s="28">
        <v>80</v>
      </c>
      <c r="BO79" s="28">
        <f t="shared" si="40"/>
        <v>15.2</v>
      </c>
      <c r="BP79" s="28">
        <f t="shared" si="41"/>
        <v>5309.3</v>
      </c>
    </row>
    <row r="80" spans="1:68" x14ac:dyDescent="0.3">
      <c r="A80" s="18" t="s">
        <v>355</v>
      </c>
      <c r="B80" s="18" t="s">
        <v>356</v>
      </c>
      <c r="C80" s="18" t="s">
        <v>357</v>
      </c>
      <c r="D80" s="19">
        <v>45881.208518518513</v>
      </c>
      <c r="E80" s="19"/>
      <c r="F80" s="18" t="s">
        <v>69</v>
      </c>
      <c r="G80" s="18" t="s">
        <v>70</v>
      </c>
      <c r="H80" s="20" t="s">
        <v>103</v>
      </c>
      <c r="I80" s="20" t="s">
        <v>104</v>
      </c>
      <c r="J80" s="21" t="s">
        <v>73</v>
      </c>
      <c r="K80" s="20" t="s">
        <v>74</v>
      </c>
      <c r="L80" s="20">
        <f t="shared" si="28"/>
        <v>31.94</v>
      </c>
      <c r="M80" s="22">
        <v>6049313</v>
      </c>
      <c r="N80" s="22"/>
      <c r="O80" s="22"/>
      <c r="P80" s="22"/>
      <c r="Q80" s="22"/>
      <c r="R80" s="22"/>
      <c r="S80" s="22"/>
      <c r="T80" s="22"/>
      <c r="U80" s="22"/>
      <c r="V80" s="22"/>
      <c r="W80" s="22">
        <v>6049313</v>
      </c>
      <c r="X80" s="22"/>
      <c r="Y80" s="22"/>
      <c r="Z80" s="22"/>
      <c r="AA80" s="22"/>
      <c r="AB80" s="22"/>
      <c r="AC80" s="22"/>
      <c r="AE80" s="22"/>
      <c r="AF80" s="23">
        <f t="shared" si="29"/>
        <v>12098626</v>
      </c>
      <c r="AI80" s="22">
        <v>725927</v>
      </c>
      <c r="AJ80" s="22"/>
      <c r="AK80" s="22">
        <v>147400</v>
      </c>
      <c r="AL80" s="22">
        <v>242000</v>
      </c>
      <c r="AM80" s="22"/>
      <c r="AN80" s="22"/>
      <c r="AO80" s="23">
        <f t="shared" si="30"/>
        <v>1115327</v>
      </c>
      <c r="AR80" s="22">
        <v>504110</v>
      </c>
      <c r="AS80" s="22">
        <v>504110</v>
      </c>
      <c r="AT80" s="22">
        <v>15123</v>
      </c>
      <c r="AU80" s="23">
        <f t="shared" si="31"/>
        <v>1023343</v>
      </c>
      <c r="AV80" s="25">
        <f t="shared" si="32"/>
        <v>2138670</v>
      </c>
      <c r="AX80" s="22"/>
      <c r="AY80" s="22"/>
      <c r="AZ80" s="22"/>
      <c r="BD80" s="26">
        <f t="shared" si="33"/>
        <v>0</v>
      </c>
      <c r="BG80" s="22">
        <f t="shared" si="34"/>
        <v>14294245.184</v>
      </c>
      <c r="BH80" s="22">
        <f t="shared" si="35"/>
        <v>320000</v>
      </c>
      <c r="BI80" s="22">
        <f t="shared" si="36"/>
        <v>56949.184000000001</v>
      </c>
      <c r="BJ80" s="22">
        <f t="shared" si="37"/>
        <v>60800</v>
      </c>
      <c r="BK80" s="22">
        <f t="shared" si="38"/>
        <v>14675045.184</v>
      </c>
      <c r="BL80" s="27">
        <v>4000</v>
      </c>
      <c r="BM80" s="28">
        <f t="shared" si="39"/>
        <v>3573.56</v>
      </c>
      <c r="BN80" s="28">
        <v>80</v>
      </c>
      <c r="BO80" s="28">
        <f t="shared" si="40"/>
        <v>15.2</v>
      </c>
      <c r="BP80" s="28">
        <f t="shared" si="41"/>
        <v>3668.7599999999998</v>
      </c>
    </row>
    <row r="81" spans="1:68" x14ac:dyDescent="0.3">
      <c r="A81" s="18" t="s">
        <v>358</v>
      </c>
      <c r="B81" s="18" t="s">
        <v>359</v>
      </c>
      <c r="C81" s="18" t="s">
        <v>360</v>
      </c>
      <c r="D81" s="19">
        <v>45809.208518518513</v>
      </c>
      <c r="E81" s="19"/>
      <c r="F81" s="18" t="s">
        <v>69</v>
      </c>
      <c r="G81" s="18" t="s">
        <v>70</v>
      </c>
      <c r="H81" s="20" t="s">
        <v>361</v>
      </c>
      <c r="I81" s="20" t="s">
        <v>362</v>
      </c>
      <c r="J81" s="21" t="s">
        <v>73</v>
      </c>
      <c r="K81" s="20" t="s">
        <v>74</v>
      </c>
      <c r="L81" s="20">
        <f t="shared" si="28"/>
        <v>31.94</v>
      </c>
      <c r="M81" s="22">
        <v>28380349</v>
      </c>
      <c r="N81" s="22"/>
      <c r="O81" s="22"/>
      <c r="P81" s="22"/>
      <c r="Q81" s="22"/>
      <c r="R81" s="22"/>
      <c r="S81" s="22"/>
      <c r="T81" s="22"/>
      <c r="U81" s="22"/>
      <c r="V81" s="22"/>
      <c r="W81" s="22">
        <v>28380349</v>
      </c>
      <c r="X81" s="22"/>
      <c r="Y81" s="22"/>
      <c r="Z81" s="22"/>
      <c r="AA81" s="22"/>
      <c r="AB81" s="22"/>
      <c r="AC81" s="22"/>
      <c r="AE81" s="22"/>
      <c r="AF81" s="23">
        <f t="shared" si="29"/>
        <v>56760698</v>
      </c>
      <c r="AI81" s="22">
        <v>2383950</v>
      </c>
      <c r="AJ81" s="22">
        <v>1688650</v>
      </c>
      <c r="AK81" s="22">
        <v>484000</v>
      </c>
      <c r="AL81" s="22">
        <v>794700</v>
      </c>
      <c r="AM81" s="22">
        <v>397400</v>
      </c>
      <c r="AN81" s="22">
        <v>596000</v>
      </c>
      <c r="AO81" s="23">
        <f t="shared" si="30"/>
        <v>6344700</v>
      </c>
      <c r="AR81" s="22"/>
      <c r="AS81" s="22"/>
      <c r="AT81" s="22"/>
      <c r="AU81" s="23">
        <f t="shared" si="31"/>
        <v>0</v>
      </c>
      <c r="AV81" s="25">
        <f t="shared" si="32"/>
        <v>6344700</v>
      </c>
      <c r="AX81" s="22"/>
      <c r="AY81" s="22"/>
      <c r="AZ81" s="22"/>
      <c r="BD81" s="26">
        <f t="shared" si="33"/>
        <v>0</v>
      </c>
      <c r="BG81" s="22">
        <f t="shared" si="34"/>
        <v>63357819.592</v>
      </c>
      <c r="BH81" s="22">
        <f t="shared" si="35"/>
        <v>320000</v>
      </c>
      <c r="BI81" s="22">
        <f t="shared" si="36"/>
        <v>252421.592</v>
      </c>
      <c r="BJ81" s="22">
        <f t="shared" si="37"/>
        <v>60800</v>
      </c>
      <c r="BK81" s="22">
        <f t="shared" si="38"/>
        <v>63738619.592</v>
      </c>
      <c r="BL81" s="27">
        <v>4000</v>
      </c>
      <c r="BM81" s="28">
        <f t="shared" si="39"/>
        <v>15839.45</v>
      </c>
      <c r="BN81" s="28">
        <v>80</v>
      </c>
      <c r="BO81" s="28">
        <f t="shared" si="40"/>
        <v>15.2</v>
      </c>
      <c r="BP81" s="28">
        <f t="shared" si="41"/>
        <v>15934.650000000001</v>
      </c>
    </row>
    <row r="82" spans="1:68" x14ac:dyDescent="0.3">
      <c r="A82" s="18" t="s">
        <v>363</v>
      </c>
      <c r="B82" s="18" t="s">
        <v>364</v>
      </c>
      <c r="C82" s="18" t="s">
        <v>365</v>
      </c>
      <c r="D82" s="19">
        <v>45705.208518518513</v>
      </c>
      <c r="E82" s="19"/>
      <c r="F82" s="18" t="s">
        <v>69</v>
      </c>
      <c r="G82" s="18" t="s">
        <v>70</v>
      </c>
      <c r="H82" s="20" t="s">
        <v>93</v>
      </c>
      <c r="I82" s="20" t="s">
        <v>94</v>
      </c>
      <c r="J82" s="21" t="s">
        <v>73</v>
      </c>
      <c r="K82" s="20" t="s">
        <v>74</v>
      </c>
      <c r="L82" s="20">
        <f t="shared" si="28"/>
        <v>31.94</v>
      </c>
      <c r="M82" s="22">
        <v>3188020</v>
      </c>
      <c r="N82" s="22"/>
      <c r="O82" s="22">
        <v>555939</v>
      </c>
      <c r="P82" s="22"/>
      <c r="Q82" s="22"/>
      <c r="R82" s="22">
        <v>229091</v>
      </c>
      <c r="S82" s="22">
        <v>1376000</v>
      </c>
      <c r="T82" s="22"/>
      <c r="U82" s="22"/>
      <c r="V82" s="22"/>
      <c r="W82" s="22">
        <v>5506810</v>
      </c>
      <c r="X82" s="22"/>
      <c r="Y82" s="22"/>
      <c r="Z82" s="22">
        <v>157760</v>
      </c>
      <c r="AA82" s="22"/>
      <c r="AB82" s="22"/>
      <c r="AC82" s="22"/>
      <c r="AE82" s="22"/>
      <c r="AF82" s="23">
        <f t="shared" si="29"/>
        <v>11013620</v>
      </c>
      <c r="AI82" s="22">
        <v>660927</v>
      </c>
      <c r="AJ82" s="22"/>
      <c r="AK82" s="22">
        <v>20000</v>
      </c>
      <c r="AL82" s="22">
        <v>191800</v>
      </c>
      <c r="AM82" s="22"/>
      <c r="AN82" s="22"/>
      <c r="AO82" s="23">
        <f t="shared" si="30"/>
        <v>872727</v>
      </c>
      <c r="AR82" s="22">
        <v>446182</v>
      </c>
      <c r="AS82" s="22">
        <v>446182</v>
      </c>
      <c r="AT82" s="22">
        <v>13164</v>
      </c>
      <c r="AU82" s="23">
        <f t="shared" si="31"/>
        <v>905528</v>
      </c>
      <c r="AV82" s="25">
        <f t="shared" si="32"/>
        <v>1778255</v>
      </c>
      <c r="AX82" s="22"/>
      <c r="AY82" s="22"/>
      <c r="AZ82" s="22"/>
      <c r="BD82" s="26">
        <f t="shared" si="33"/>
        <v>0</v>
      </c>
      <c r="BG82" s="22">
        <f t="shared" si="34"/>
        <v>12843042.5</v>
      </c>
      <c r="BH82" s="22">
        <f t="shared" si="35"/>
        <v>320000</v>
      </c>
      <c r="BI82" s="22">
        <f t="shared" si="36"/>
        <v>51167.5</v>
      </c>
      <c r="BJ82" s="22">
        <f t="shared" si="37"/>
        <v>60800</v>
      </c>
      <c r="BK82" s="22">
        <f t="shared" si="38"/>
        <v>13223842.5</v>
      </c>
      <c r="BL82" s="27">
        <v>4000</v>
      </c>
      <c r="BM82" s="28">
        <f t="shared" si="39"/>
        <v>3210.76</v>
      </c>
      <c r="BN82" s="28">
        <v>80</v>
      </c>
      <c r="BO82" s="28">
        <f t="shared" si="40"/>
        <v>15.2</v>
      </c>
      <c r="BP82" s="28">
        <f t="shared" si="41"/>
        <v>3305.96</v>
      </c>
    </row>
    <row r="83" spans="1:68" x14ac:dyDescent="0.3">
      <c r="A83" s="18" t="s">
        <v>366</v>
      </c>
      <c r="B83" s="18" t="s">
        <v>367</v>
      </c>
      <c r="C83" s="18" t="s">
        <v>368</v>
      </c>
      <c r="D83" s="19">
        <v>45721.208518518513</v>
      </c>
      <c r="E83" s="19"/>
      <c r="F83" s="18" t="s">
        <v>69</v>
      </c>
      <c r="G83" s="18" t="s">
        <v>70</v>
      </c>
      <c r="H83" s="20" t="s">
        <v>369</v>
      </c>
      <c r="I83" s="20" t="s">
        <v>370</v>
      </c>
      <c r="J83" s="21" t="s">
        <v>73</v>
      </c>
      <c r="K83" s="20" t="s">
        <v>74</v>
      </c>
      <c r="L83" s="20">
        <f t="shared" si="28"/>
        <v>31.94</v>
      </c>
      <c r="M83" s="22">
        <v>10000000</v>
      </c>
      <c r="N83" s="22"/>
      <c r="O83" s="22"/>
      <c r="P83" s="22"/>
      <c r="Q83" s="22"/>
      <c r="R83" s="22"/>
      <c r="S83" s="22"/>
      <c r="T83" s="22"/>
      <c r="U83" s="22"/>
      <c r="V83" s="22"/>
      <c r="W83" s="22">
        <v>10000000</v>
      </c>
      <c r="X83" s="22"/>
      <c r="Y83" s="22"/>
      <c r="Z83" s="22"/>
      <c r="AA83" s="22"/>
      <c r="AB83" s="22"/>
      <c r="AC83" s="22"/>
      <c r="AE83" s="22"/>
      <c r="AF83" s="23">
        <f t="shared" si="29"/>
        <v>20000000</v>
      </c>
      <c r="AI83" s="22">
        <v>1200100</v>
      </c>
      <c r="AJ83" s="22"/>
      <c r="AK83" s="22">
        <v>186800</v>
      </c>
      <c r="AL83" s="22">
        <v>400100</v>
      </c>
      <c r="AM83" s="22"/>
      <c r="AN83" s="22"/>
      <c r="AO83" s="23">
        <f t="shared" si="30"/>
        <v>1787000</v>
      </c>
      <c r="AR83" s="22">
        <v>833334</v>
      </c>
      <c r="AS83" s="22">
        <v>833334</v>
      </c>
      <c r="AT83" s="22">
        <v>25000</v>
      </c>
      <c r="AU83" s="23">
        <f t="shared" si="31"/>
        <v>1691668</v>
      </c>
      <c r="AV83" s="25">
        <f t="shared" si="32"/>
        <v>3478668</v>
      </c>
      <c r="AX83" s="22"/>
      <c r="AY83" s="22"/>
      <c r="AZ83" s="22"/>
      <c r="BD83" s="26">
        <f t="shared" si="33"/>
        <v>0</v>
      </c>
      <c r="BG83" s="22">
        <f t="shared" si="34"/>
        <v>23572582.671999998</v>
      </c>
      <c r="BH83" s="22">
        <f t="shared" si="35"/>
        <v>320000</v>
      </c>
      <c r="BI83" s="22">
        <f t="shared" si="36"/>
        <v>93914.672000000006</v>
      </c>
      <c r="BJ83" s="22">
        <f t="shared" si="37"/>
        <v>60800</v>
      </c>
      <c r="BK83" s="22">
        <f t="shared" si="38"/>
        <v>23953382.671999998</v>
      </c>
      <c r="BL83" s="27">
        <v>4000</v>
      </c>
      <c r="BM83" s="28">
        <f t="shared" si="39"/>
        <v>5893.15</v>
      </c>
      <c r="BN83" s="28">
        <v>80</v>
      </c>
      <c r="BO83" s="28">
        <f t="shared" si="40"/>
        <v>15.2</v>
      </c>
      <c r="BP83" s="28">
        <f t="shared" si="41"/>
        <v>5988.3499999999995</v>
      </c>
    </row>
    <row r="84" spans="1:68" x14ac:dyDescent="0.3">
      <c r="A84" s="18" t="s">
        <v>371</v>
      </c>
      <c r="B84" s="18" t="s">
        <v>372</v>
      </c>
      <c r="C84" s="18" t="s">
        <v>373</v>
      </c>
      <c r="D84" s="19">
        <v>45566.208518518513</v>
      </c>
      <c r="E84" s="19"/>
      <c r="F84" s="18" t="s">
        <v>69</v>
      </c>
      <c r="G84" s="18" t="s">
        <v>70</v>
      </c>
      <c r="H84" s="20" t="s">
        <v>93</v>
      </c>
      <c r="I84" s="20" t="s">
        <v>94</v>
      </c>
      <c r="J84" s="21" t="s">
        <v>73</v>
      </c>
      <c r="K84" s="20" t="s">
        <v>74</v>
      </c>
      <c r="L84" s="20">
        <f t="shared" si="28"/>
        <v>31.94</v>
      </c>
      <c r="M84" s="22">
        <v>3710000</v>
      </c>
      <c r="N84" s="22"/>
      <c r="O84" s="22"/>
      <c r="P84" s="22"/>
      <c r="Q84" s="22"/>
      <c r="R84" s="22"/>
      <c r="S84" s="22"/>
      <c r="T84" s="22"/>
      <c r="U84" s="22"/>
      <c r="V84" s="22"/>
      <c r="W84" s="22">
        <v>3710000</v>
      </c>
      <c r="X84" s="22"/>
      <c r="Y84" s="22"/>
      <c r="Z84" s="22"/>
      <c r="AA84" s="22"/>
      <c r="AB84" s="22"/>
      <c r="AC84" s="22"/>
      <c r="AE84" s="22"/>
      <c r="AF84" s="23">
        <f t="shared" si="29"/>
        <v>7420000</v>
      </c>
      <c r="AI84" s="22">
        <v>445200</v>
      </c>
      <c r="AJ84" s="22"/>
      <c r="AK84" s="22">
        <v>19400</v>
      </c>
      <c r="AL84" s="22">
        <v>148400</v>
      </c>
      <c r="AM84" s="22"/>
      <c r="AN84" s="22"/>
      <c r="AO84" s="23">
        <f t="shared" si="30"/>
        <v>613000</v>
      </c>
      <c r="AR84" s="22">
        <v>309167</v>
      </c>
      <c r="AS84" s="22">
        <v>309167</v>
      </c>
      <c r="AT84" s="22">
        <v>9280</v>
      </c>
      <c r="AU84" s="23">
        <f t="shared" si="31"/>
        <v>627614</v>
      </c>
      <c r="AV84" s="25">
        <f t="shared" si="32"/>
        <v>1240614</v>
      </c>
      <c r="AX84" s="22"/>
      <c r="AY84" s="22"/>
      <c r="AZ84" s="22"/>
      <c r="BD84" s="26">
        <f t="shared" si="33"/>
        <v>0</v>
      </c>
      <c r="BG84" s="22">
        <f t="shared" si="34"/>
        <v>8695256.4560000002</v>
      </c>
      <c r="BH84" s="22">
        <f t="shared" si="35"/>
        <v>320000</v>
      </c>
      <c r="BI84" s="22">
        <f t="shared" si="36"/>
        <v>34642.455999999998</v>
      </c>
      <c r="BJ84" s="22">
        <f t="shared" si="37"/>
        <v>60800</v>
      </c>
      <c r="BK84" s="22">
        <f t="shared" si="38"/>
        <v>9076056.4560000002</v>
      </c>
      <c r="BL84" s="27">
        <v>4000</v>
      </c>
      <c r="BM84" s="28">
        <f t="shared" si="39"/>
        <v>2173.81</v>
      </c>
      <c r="BN84" s="28">
        <v>80</v>
      </c>
      <c r="BO84" s="28">
        <f t="shared" si="40"/>
        <v>15.2</v>
      </c>
      <c r="BP84" s="28">
        <f t="shared" si="41"/>
        <v>2269.0099999999998</v>
      </c>
    </row>
    <row r="85" spans="1:68" x14ac:dyDescent="0.3">
      <c r="M85" s="30">
        <f t="shared" ref="M85:AF85" si="42">SUM(M4:M84)</f>
        <v>728307914</v>
      </c>
      <c r="N85" s="30">
        <f t="shared" si="42"/>
        <v>0</v>
      </c>
      <c r="O85" s="30">
        <f t="shared" si="42"/>
        <v>1884193</v>
      </c>
      <c r="P85" s="30">
        <f t="shared" si="42"/>
        <v>0</v>
      </c>
      <c r="Q85" s="30">
        <f t="shared" si="42"/>
        <v>3136043</v>
      </c>
      <c r="R85" s="30">
        <f t="shared" si="42"/>
        <v>4862741</v>
      </c>
      <c r="S85" s="30">
        <f t="shared" si="42"/>
        <v>53444106</v>
      </c>
      <c r="T85" s="30">
        <f t="shared" si="42"/>
        <v>596627</v>
      </c>
      <c r="U85" s="30">
        <f t="shared" si="42"/>
        <v>540000</v>
      </c>
      <c r="V85" s="30">
        <f t="shared" si="42"/>
        <v>2159575</v>
      </c>
      <c r="W85" s="30">
        <f t="shared" si="42"/>
        <v>798504990</v>
      </c>
      <c r="X85" s="30">
        <f t="shared" si="42"/>
        <v>0</v>
      </c>
      <c r="Y85" s="30">
        <f t="shared" si="42"/>
        <v>0</v>
      </c>
      <c r="Z85" s="30">
        <f t="shared" si="42"/>
        <v>3611877</v>
      </c>
      <c r="AA85" s="30">
        <f t="shared" si="42"/>
        <v>218000</v>
      </c>
      <c r="AB85" s="30">
        <f t="shared" si="42"/>
        <v>0</v>
      </c>
      <c r="AC85" s="30">
        <f t="shared" si="42"/>
        <v>0</v>
      </c>
      <c r="AD85" s="30">
        <f t="shared" si="42"/>
        <v>0</v>
      </c>
      <c r="AE85" s="30">
        <f t="shared" si="42"/>
        <v>0</v>
      </c>
      <c r="AF85" s="30">
        <f t="shared" si="42"/>
        <v>1597266066</v>
      </c>
      <c r="AI85" s="30">
        <f t="shared" ref="AI85:AO85" si="43">SUM(AI4:AI84)</f>
        <v>78163134</v>
      </c>
      <c r="AJ85" s="30">
        <f t="shared" si="43"/>
        <v>22242196</v>
      </c>
      <c r="AK85" s="30">
        <f t="shared" si="43"/>
        <v>14395600</v>
      </c>
      <c r="AL85" s="30">
        <f t="shared" si="43"/>
        <v>28493200</v>
      </c>
      <c r="AM85" s="30">
        <f t="shared" si="43"/>
        <v>5296200</v>
      </c>
      <c r="AN85" s="30">
        <f t="shared" si="43"/>
        <v>7944100</v>
      </c>
      <c r="AO85" s="30">
        <f t="shared" si="43"/>
        <v>156534430</v>
      </c>
      <c r="AR85" s="30">
        <f>SUM(AR4:AR84)</f>
        <v>44734771</v>
      </c>
      <c r="AS85" s="30">
        <f>SUM(AS4:AS84)</f>
        <v>44734771</v>
      </c>
      <c r="AT85" s="30">
        <f>SUM(AT4:AT84)</f>
        <v>1309515</v>
      </c>
      <c r="AU85" s="30">
        <f>SUM(AU4:AU84)</f>
        <v>90779057</v>
      </c>
      <c r="AV85" s="31">
        <f>SUM(AV4:AV84)</f>
        <v>247313487</v>
      </c>
      <c r="AX85" s="30">
        <f t="shared" ref="AX85:BD85" si="44">SUM(AX4:AX84)</f>
        <v>4734492</v>
      </c>
      <c r="AY85" s="30">
        <f t="shared" si="44"/>
        <v>4698145</v>
      </c>
      <c r="AZ85" s="30">
        <f t="shared" si="44"/>
        <v>679000</v>
      </c>
      <c r="BA85" s="30">
        <f t="shared" si="44"/>
        <v>0</v>
      </c>
      <c r="BB85" s="30">
        <f t="shared" si="44"/>
        <v>0</v>
      </c>
      <c r="BC85" s="30">
        <f t="shared" si="44"/>
        <v>0</v>
      </c>
      <c r="BD85" s="30">
        <f t="shared" si="44"/>
        <v>10111637</v>
      </c>
      <c r="BG85" s="30">
        <f>SUM(BG4:BG84)</f>
        <v>1862109954.76</v>
      </c>
      <c r="BH85" s="30">
        <f>SUM(BH4:BH84)</f>
        <v>25920000</v>
      </c>
      <c r="BI85" s="30">
        <f>SUM(BI4:BI84)</f>
        <v>7418764.7600000035</v>
      </c>
      <c r="BJ85" s="30">
        <f>SUM(BJ4:BJ84)</f>
        <v>4924800</v>
      </c>
      <c r="BK85" s="30">
        <f>SUM(BK4:BK84)</f>
        <v>1892954754.76</v>
      </c>
      <c r="BM85" s="32">
        <f>SUM(BM4:BM84)</f>
        <v>465527.49</v>
      </c>
      <c r="BN85" s="32">
        <f>SUM(BN4:BN84)</f>
        <v>6480</v>
      </c>
      <c r="BO85" s="32">
        <f>SUM(BO4:BO84)</f>
        <v>1231.2000000000019</v>
      </c>
      <c r="BP85" s="32">
        <f>SUM(BP4:BP84)</f>
        <v>473238.69000000006</v>
      </c>
    </row>
  </sheetData>
  <mergeCells count="4">
    <mergeCell ref="AI2:AO2"/>
    <mergeCell ref="AR2:AT2"/>
    <mergeCell ref="AX2:BD2"/>
    <mergeCell ref="BG2:B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INVOICING</vt:lpstr>
      <vt:lpstr>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2026-03-04T15:02:48Z</dcterms:created>
  <dcterms:modified xsi:type="dcterms:W3CDTF">2026-09-15T19:26:30Z</dcterms:modified>
</cp:coreProperties>
</file>