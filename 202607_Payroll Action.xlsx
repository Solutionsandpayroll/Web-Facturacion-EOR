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istian\Documents\S&amp;P\Documentos automatizacion\EOR\Automatizacion facturacion\ARCHIVOS EJEMPLO PROFFORMAS\ACTION\"/>
    </mc:Choice>
  </mc:AlternateContent>
  <xr:revisionPtr revIDLastSave="0" documentId="13_ncr:1_{4DB0921B-5FF0-4509-A22D-0F9C705A2A8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&amp;P" sheetId="6" r:id="rId1"/>
    <sheet name="Invoicing" sheetId="2" r:id="rId2"/>
  </sheets>
  <definedNames>
    <definedName name="_xlnm._FilterDatabase" localSheetId="0" hidden="1">'C&amp;P'!$B$23:$Y$26</definedName>
    <definedName name="_xlnm.Print_Titles" localSheetId="0">'C&amp;P'!$1:$20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5" i="2" l="1"/>
  <c r="AI4" i="2"/>
  <c r="AH5" i="2"/>
  <c r="AH4" i="2"/>
  <c r="AG5" i="2"/>
  <c r="AG4" i="2"/>
  <c r="AB5" i="2"/>
  <c r="AB4" i="2"/>
  <c r="AA5" i="2"/>
  <c r="AA4" i="2"/>
  <c r="Y5" i="2"/>
  <c r="Y4" i="2"/>
  <c r="Q5" i="2"/>
  <c r="Q4" i="2"/>
  <c r="W4" i="2"/>
  <c r="K5" i="2"/>
  <c r="K4" i="2"/>
  <c r="H5" i="2"/>
  <c r="H4" i="2"/>
  <c r="A5" i="2"/>
  <c r="A4" i="2"/>
  <c r="B5" i="2"/>
  <c r="B4" i="2"/>
  <c r="G4" i="2" l="1"/>
  <c r="AJ5" i="2"/>
  <c r="AI6" i="2"/>
  <c r="AG6" i="2"/>
  <c r="M5" i="2"/>
  <c r="J5" i="2"/>
  <c r="S5" i="2"/>
  <c r="S4" i="2"/>
  <c r="P4" i="2"/>
  <c r="P5" i="2"/>
  <c r="G5" i="2"/>
  <c r="R6" i="2"/>
  <c r="Q6" i="2"/>
  <c r="AM5" i="2"/>
  <c r="AM4" i="2"/>
  <c r="AL6" i="2"/>
  <c r="W5" i="2"/>
  <c r="V5" i="2" s="1"/>
  <c r="AH6" i="2"/>
  <c r="AD6" i="2"/>
  <c r="AC6" i="2"/>
  <c r="U6" i="2"/>
  <c r="O6" i="2"/>
  <c r="L6" i="2"/>
  <c r="I6" i="2"/>
  <c r="M4" i="2"/>
  <c r="AM6" i="2" l="1"/>
  <c r="T6" i="2"/>
  <c r="S6" i="2"/>
  <c r="AB6" i="2"/>
  <c r="AJ4" i="2"/>
  <c r="AJ6" i="2" s="1"/>
  <c r="AE5" i="2"/>
  <c r="AO5" i="2" s="1"/>
  <c r="AP5" i="2" s="1"/>
  <c r="AT5" i="2" s="1"/>
  <c r="Z6" i="2"/>
  <c r="AA6" i="2"/>
  <c r="AE4" i="2"/>
  <c r="Y6" i="2"/>
  <c r="M6" i="2"/>
  <c r="N6" i="2"/>
  <c r="K6" i="2"/>
  <c r="J4" i="2"/>
  <c r="J6" i="2" s="1"/>
  <c r="P6" i="2"/>
  <c r="G6" i="2"/>
  <c r="H6" i="2"/>
  <c r="AE6" i="2" l="1"/>
  <c r="AO4" i="2"/>
  <c r="AP4" i="2" s="1"/>
  <c r="AT4" i="2" s="1"/>
  <c r="AT6" i="2" s="1"/>
  <c r="W6" i="2"/>
  <c r="V4" i="2"/>
  <c r="AQ5" i="2"/>
  <c r="AS5" i="2"/>
  <c r="AU5" i="2" s="1"/>
  <c r="V6" i="2" l="1"/>
  <c r="AQ4" i="2"/>
  <c r="AQ6" i="2" s="1"/>
  <c r="AS4" i="2"/>
  <c r="AP6" i="2"/>
  <c r="AO6" i="2"/>
  <c r="AU4" i="2" l="1"/>
  <c r="AU6" i="2" s="1"/>
  <c r="AS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Germán Hincapie</author>
  </authors>
  <commentList>
    <comment ref="C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Germán Hincapie:</t>
        </r>
        <r>
          <rPr>
            <sz val="9"/>
            <color indexed="81"/>
            <rFont val="Tahoma"/>
            <family val="2"/>
          </rPr>
          <t xml:space="preserve">
This is a gross
salary base</t>
        </r>
      </text>
    </comment>
    <comment ref="N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Germán Hincapie:</t>
        </r>
        <r>
          <rPr>
            <sz val="9"/>
            <color indexed="81"/>
            <rFont val="Tahoma"/>
            <family val="2"/>
          </rPr>
          <t xml:space="preserve">
DAY 1 - 2 100% IN CHARGE OF ACTIONAD
DAY 3 ONWARDS 66.667% IN CHARGE HEALTH ENTITY
</t>
        </r>
      </text>
    </comment>
  </commentList>
</comments>
</file>

<file path=xl/sharedStrings.xml><?xml version="1.0" encoding="utf-8"?>
<sst xmlns="http://schemas.openxmlformats.org/spreadsheetml/2006/main" count="109" uniqueCount="82">
  <si>
    <t>Fecha:</t>
  </si>
  <si>
    <t>REPORTE COLUMNARIO</t>
  </si>
  <si>
    <t>SOLUTIONS &amp; PAYROLL S.A.S.</t>
  </si>
  <si>
    <t>Usuario:</t>
  </si>
  <si>
    <t>NOVACLOUD\sol-lmadrid</t>
  </si>
  <si>
    <t>900.508.955-5</t>
  </si>
  <si>
    <t>Reporte:</t>
  </si>
  <si>
    <t>NOMPLCOL</t>
  </si>
  <si>
    <t>GTN COLUMNARIO CONSOLIDADO</t>
  </si>
  <si>
    <t>Página:</t>
  </si>
  <si>
    <t>Codigo Empl</t>
  </si>
  <si>
    <t>Nombre</t>
  </si>
  <si>
    <t>Apellido 1</t>
  </si>
  <si>
    <t>Apellido 2</t>
  </si>
  <si>
    <t>DEVENGO</t>
  </si>
  <si>
    <t>DEDUCCION</t>
  </si>
  <si>
    <t>NO OPERA</t>
  </si>
  <si>
    <t/>
  </si>
  <si>
    <t>001050 Salario</t>
  </si>
  <si>
    <t>001067 Hora Dom o Fest Ordinar</t>
  </si>
  <si>
    <t>001751-Bonificacion  Salarial</t>
  </si>
  <si>
    <t>002205 Salud Empleado</t>
  </si>
  <si>
    <t>002210 Pensión Empleado</t>
  </si>
  <si>
    <t>200051 Des Anticipo de Nomina</t>
  </si>
  <si>
    <t>002221 Pensión Patrono</t>
  </si>
  <si>
    <t>002222 Riesgo Profesional</t>
  </si>
  <si>
    <t>002910 Aporte Caja Compensació</t>
  </si>
  <si>
    <t>008407 Provision Prima</t>
  </si>
  <si>
    <t>008412 Provision Cesantias</t>
  </si>
  <si>
    <t>008415 Provision Int Ces</t>
  </si>
  <si>
    <t>008402 Provision Vacaciones</t>
  </si>
  <si>
    <t>Valor</t>
  </si>
  <si>
    <t xml:space="preserve">1020781908  </t>
  </si>
  <si>
    <t>FRANCY MILENA</t>
  </si>
  <si>
    <t>ROZO</t>
  </si>
  <si>
    <t>GUZMAN</t>
  </si>
  <si>
    <t xml:space="preserve">1125229719  </t>
  </si>
  <si>
    <t>YOSSYE HERNEY</t>
  </si>
  <si>
    <t>SUAREZ</t>
  </si>
  <si>
    <t>PEREZ</t>
  </si>
  <si>
    <t>COST REPORT</t>
  </si>
  <si>
    <t>EXCHANGE RATE</t>
  </si>
  <si>
    <t>CANTIDAD DIAS LABORALES</t>
  </si>
  <si>
    <t>SOCIAL SECURITY EMPLOYER COSTS COP</t>
  </si>
  <si>
    <t>SOCIAL BENEFITS COST PROVISION</t>
  </si>
  <si>
    <t>OTHER EMPLOYER COST</t>
  </si>
  <si>
    <t>TOTALS</t>
  </si>
  <si>
    <t>EMPLOYEE CODE</t>
  </si>
  <si>
    <t>NAME</t>
  </si>
  <si>
    <t>MINIMUN GROSS SALARY</t>
  </si>
  <si>
    <t>USD HOURLY RATE</t>
  </si>
  <si>
    <t>HORAS A TRABAJAR EN EL MES</t>
  </si>
  <si>
    <t>USD AMOUNT ORDINARY SALARRY</t>
  </si>
  <si>
    <t xml:space="preserve">ORDINARY SALARY </t>
  </si>
  <si>
    <t>USD AMOUNT HOLIDAY</t>
  </si>
  <si>
    <t>HOLIDAY</t>
  </si>
  <si>
    <t>USD AMOUNT SICK LEAVE</t>
  </si>
  <si>
    <t>PAID LEAVE</t>
  </si>
  <si>
    <t>USD AMOUNT BONUS</t>
  </si>
  <si>
    <t>BONUS</t>
  </si>
  <si>
    <t>USD AMOUNT PTO</t>
  </si>
  <si>
    <t>PTO</t>
  </si>
  <si>
    <t>USD AMOUNT PAYMENTS</t>
  </si>
  <si>
    <t>PAYMENTS</t>
  </si>
  <si>
    <t>PENSION COST</t>
  </si>
  <si>
    <t>HEALTH COST</t>
  </si>
  <si>
    <t>LABOR RISK COST</t>
  </si>
  <si>
    <t>FAMILY FUND COST</t>
  </si>
  <si>
    <t>SENA COST</t>
  </si>
  <si>
    <t>ICBF COST</t>
  </si>
  <si>
    <t>TOTAL</t>
  </si>
  <si>
    <t>13TH MONTH</t>
  </si>
  <si>
    <t>14TH MONTH</t>
  </si>
  <si>
    <t>INTEREST ON 14TH MONTH</t>
  </si>
  <si>
    <t>PERIODIC MEDICAL TEST</t>
  </si>
  <si>
    <t>TOTAL EMPLOYEE COST</t>
  </si>
  <si>
    <t>FEE</t>
  </si>
  <si>
    <t>TOTAL COP</t>
  </si>
  <si>
    <t>TOTAL EMPLOYEE COST USD</t>
  </si>
  <si>
    <t>FEE USD</t>
  </si>
  <si>
    <t>TOTAL USD</t>
  </si>
  <si>
    <r>
      <t xml:space="preserve">
______________________________          ______________________________          ______________________________
</t>
    </r>
    <r>
      <rPr>
        <b/>
        <sz val="8"/>
        <color rgb="FF000000"/>
        <rFont val="Tahoma"/>
        <family val="2"/>
      </rPr>
      <t xml:space="preserve">                             ELABORÓ                                                            REVISÓ                                                                   APROBÓ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</si>
</sst>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_);_(* \(#,##0\);_(* &quot;-&quot;_);_(@_)"/>
    <numFmt numFmtId="165" formatCode="[$-10C0A]#,##0;\(#,##0\)"/>
    <numFmt numFmtId="166" formatCode="[$-10C0A]#,##0.00;\(#,##0.00\)"/>
    <numFmt numFmtId="167" formatCode="[$-1240A]#,##0.00;\-#,##0.00"/>
    <numFmt numFmtId="168" formatCode="[$-1240A]d/mm/yyyy\ h:mm:ss\ AM/PM"/>
    <numFmt numFmtId="169" formatCode="[$-10C0A]#,##0.000;\(#,##0.000\)"/>
  </numFmts>
  <fonts count="21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</font>
    <font>
      <sz val="14"/>
      <color rgb="FF1C3A70"/>
      <name val="Tahoma"/>
      <family val="2"/>
    </font>
    <font>
      <i/>
      <sz val="7"/>
      <color rgb="FF000000"/>
      <name val="Arial"/>
      <family val="2"/>
    </font>
    <font>
      <sz val="10"/>
      <color theme="1"/>
      <name val="Arial"/>
      <family val="2"/>
    </font>
    <font>
      <b/>
      <sz val="7"/>
      <color rgb="FFFFFFFF"/>
      <name val="Tahoma"/>
      <family val="2"/>
    </font>
    <font>
      <b/>
      <sz val="10"/>
      <color theme="0"/>
      <name val="Tahoma"/>
      <family val="2"/>
    </font>
    <font>
      <sz val="10"/>
      <name val="Arial"/>
      <family val="2"/>
    </font>
    <font>
      <sz val="7"/>
      <color rgb="FF000000"/>
      <name val="Tahoma"/>
      <family val="2"/>
    </font>
    <font>
      <sz val="7"/>
      <color rgb="FF00008B"/>
      <name val="Tahoma"/>
      <family val="2"/>
    </font>
    <font>
      <sz val="7"/>
      <color indexed="8"/>
      <name val="Tahoma"/>
      <family val="2"/>
    </font>
    <font>
      <b/>
      <sz val="7"/>
      <color rgb="FFFF0000"/>
      <name val="Tahoma"/>
      <family val="2"/>
    </font>
    <font>
      <b/>
      <sz val="7"/>
      <color rgb="FF000000"/>
      <name val="Tahoma"/>
      <family val="2"/>
    </font>
    <font>
      <b/>
      <sz val="8"/>
      <color rgb="FF000000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5F5F5"/>
        <bgColor rgb="FFF5F5F5"/>
      </patternFill>
    </fill>
    <fill>
      <patternFill patternType="solid">
        <fgColor rgb="FF1F4763"/>
        <bgColor rgb="FF1F4763"/>
      </patternFill>
    </fill>
    <fill>
      <patternFill patternType="solid">
        <fgColor theme="1"/>
        <bgColor theme="1"/>
      </patternFill>
    </fill>
    <fill>
      <patternFill patternType="solid">
        <fgColor theme="0" tint="-0.249977111117893"/>
        <bgColor rgb="FFD3D3D3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CFAFA"/>
        <bgColor rgb="FFDCFAFA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FFFFFF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D3D3D3"/>
      </bottom>
      <diagonal/>
    </border>
    <border>
      <left style="thin">
        <color rgb="FFD3D3D3"/>
      </left>
      <right/>
      <top style="medium">
        <color indexed="64"/>
      </top>
      <bottom style="thin">
        <color rgb="FFD3D3D3"/>
      </bottom>
      <diagonal/>
    </border>
    <border>
      <left/>
      <right style="medium">
        <color indexed="64"/>
      </right>
      <top style="medium">
        <color indexed="64"/>
      </top>
      <bottom style="thin">
        <color rgb="FFD3D3D3"/>
      </bottom>
      <diagonal/>
    </border>
    <border>
      <left/>
      <right/>
      <top style="medium">
        <color indexed="64"/>
      </top>
      <bottom style="thin">
        <color rgb="FFD3D3D3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rgb="FFD3D3D3"/>
      </bottom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medium">
        <color indexed="64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medium">
        <color indexed="64"/>
      </right>
      <top style="thin">
        <color rgb="FFD3D3D3"/>
      </top>
      <bottom style="thin">
        <color rgb="FFD3D3D3"/>
      </bottom>
      <diagonal/>
    </border>
    <border>
      <left style="medium">
        <color indexed="64"/>
      </left>
      <right/>
      <top/>
      <bottom/>
      <diagonal/>
    </border>
    <border>
      <left style="medium">
        <color theme="0"/>
      </left>
      <right style="medium">
        <color indexed="64"/>
      </right>
      <top style="thin">
        <color rgb="FFD3D3D3"/>
      </top>
      <bottom style="thin">
        <color rgb="FFD3D3D3"/>
      </bottom>
      <diagonal/>
    </border>
    <border>
      <left style="medium">
        <color indexed="64"/>
      </left>
      <right style="thin">
        <color rgb="FFD3D3D3"/>
      </right>
      <top style="thin">
        <color rgb="FFD3D3D3"/>
      </top>
      <bottom style="medium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indexed="64"/>
      </bottom>
      <diagonal/>
    </border>
    <border>
      <left style="thin">
        <color rgb="FFD3D3D3"/>
      </left>
      <right style="medium">
        <color indexed="64"/>
      </right>
      <top style="thin">
        <color rgb="FFD3D3D3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thin">
        <color rgb="FFD3D3D3"/>
      </top>
      <bottom style="medium">
        <color indexed="64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000000"/>
      </left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 readingOrder="1"/>
    </xf>
    <xf numFmtId="0" fontId="0" fillId="0" borderId="0" xfId="0" applyAlignment="1">
      <alignment vertical="center"/>
    </xf>
    <xf numFmtId="0" fontId="4" fillId="0" borderId="0" xfId="0" applyFont="1" applyAlignment="1">
      <alignment horizontal="right" vertical="center" wrapText="1" readingOrder="1"/>
    </xf>
    <xf numFmtId="0" fontId="5" fillId="0" borderId="5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6" fillId="4" borderId="4" xfId="0" applyFont="1" applyFill="1" applyBorder="1" applyAlignment="1">
      <alignment horizontal="center" vertical="center" wrapText="1" readingOrder="1"/>
    </xf>
    <xf numFmtId="0" fontId="7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 readingOrder="1"/>
    </xf>
    <xf numFmtId="0" fontId="6" fillId="4" borderId="10" xfId="0" applyFont="1" applyFill="1" applyBorder="1" applyAlignment="1">
      <alignment horizontal="center" vertical="center" wrapText="1" readingOrder="1"/>
    </xf>
    <xf numFmtId="0" fontId="6" fillId="4" borderId="13" xfId="0" applyFont="1" applyFill="1" applyBorder="1" applyAlignment="1">
      <alignment horizontal="center" vertical="center" wrapText="1" readingOrder="1"/>
    </xf>
    <xf numFmtId="0" fontId="6" fillId="4" borderId="14" xfId="0" applyFont="1" applyFill="1" applyBorder="1" applyAlignment="1">
      <alignment horizontal="center" vertical="center" wrapText="1" readingOrder="1"/>
    </xf>
    <xf numFmtId="0" fontId="6" fillId="0" borderId="15" xfId="0" applyFont="1" applyBorder="1" applyAlignment="1">
      <alignment horizontal="center" vertical="center" wrapText="1" readingOrder="1"/>
    </xf>
    <xf numFmtId="0" fontId="6" fillId="4" borderId="16" xfId="0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center" vertical="center" wrapText="1" readingOrder="1"/>
    </xf>
    <xf numFmtId="0" fontId="6" fillId="4" borderId="0" xfId="0" applyFont="1" applyFill="1" applyAlignment="1">
      <alignment horizontal="center" vertical="center" wrapText="1" readingOrder="1"/>
    </xf>
    <xf numFmtId="0" fontId="9" fillId="0" borderId="1" xfId="0" applyFont="1" applyBorder="1" applyAlignment="1">
      <alignment vertical="center" wrapText="1" readingOrder="1"/>
    </xf>
    <xf numFmtId="165" fontId="9" fillId="0" borderId="1" xfId="0" applyNumberFormat="1" applyFont="1" applyBorder="1" applyAlignment="1">
      <alignment horizontal="right" vertical="center" wrapText="1" readingOrder="1"/>
    </xf>
    <xf numFmtId="166" fontId="9" fillId="0" borderId="1" xfId="0" applyNumberFormat="1" applyFont="1" applyBorder="1" applyAlignment="1">
      <alignment horizontal="right" vertical="center" wrapText="1" readingOrder="1"/>
    </xf>
    <xf numFmtId="166" fontId="9" fillId="0" borderId="4" xfId="0" applyNumberFormat="1" applyFont="1" applyBorder="1" applyAlignment="1">
      <alignment horizontal="right" vertical="center" wrapText="1" readingOrder="1"/>
    </xf>
    <xf numFmtId="166" fontId="9" fillId="0" borderId="17" xfId="0" applyNumberFormat="1" applyFont="1" applyBorder="1" applyAlignment="1">
      <alignment horizontal="right" vertical="center" wrapText="1" readingOrder="1"/>
    </xf>
    <xf numFmtId="2" fontId="10" fillId="0" borderId="18" xfId="0" applyNumberFormat="1" applyFont="1" applyBorder="1" applyAlignment="1">
      <alignment vertical="center" wrapText="1" readingOrder="1"/>
    </xf>
    <xf numFmtId="166" fontId="9" fillId="0" borderId="3" xfId="0" applyNumberFormat="1" applyFont="1" applyBorder="1" applyAlignment="1">
      <alignment horizontal="right" vertical="center" wrapText="1" readingOrder="1"/>
    </xf>
    <xf numFmtId="166" fontId="9" fillId="0" borderId="19" xfId="0" applyNumberFormat="1" applyFont="1" applyBorder="1" applyAlignment="1">
      <alignment horizontal="right" vertical="center" wrapText="1" readingOrder="1"/>
    </xf>
    <xf numFmtId="165" fontId="9" fillId="6" borderId="20" xfId="0" applyNumberFormat="1" applyFont="1" applyFill="1" applyBorder="1" applyAlignment="1">
      <alignment horizontal="right" vertical="center" wrapText="1" readingOrder="1"/>
    </xf>
    <xf numFmtId="165" fontId="9" fillId="0" borderId="0" xfId="0" applyNumberFormat="1" applyFont="1" applyAlignment="1">
      <alignment horizontal="right" vertical="center" wrapText="1" readingOrder="1"/>
    </xf>
    <xf numFmtId="165" fontId="9" fillId="6" borderId="1" xfId="0" applyNumberFormat="1" applyFont="1" applyFill="1" applyBorder="1" applyAlignment="1">
      <alignment horizontal="right" vertical="center" wrapText="1" readingOrder="1"/>
    </xf>
    <xf numFmtId="165" fontId="9" fillId="7" borderId="1" xfId="0" applyNumberFormat="1" applyFont="1" applyFill="1" applyBorder="1" applyAlignment="1">
      <alignment horizontal="right" vertical="center" wrapText="1" readingOrder="1"/>
    </xf>
    <xf numFmtId="165" fontId="12" fillId="0" borderId="0" xfId="0" applyNumberFormat="1" applyFont="1" applyAlignment="1">
      <alignment horizontal="left" vertical="center" wrapText="1" readingOrder="1"/>
    </xf>
    <xf numFmtId="0" fontId="9" fillId="0" borderId="1" xfId="0" applyFont="1" applyBorder="1" applyAlignment="1">
      <alignment horizontal="left" vertical="center" wrapText="1" readingOrder="1"/>
    </xf>
    <xf numFmtId="0" fontId="13" fillId="0" borderId="1" xfId="0" applyFont="1" applyBorder="1" applyAlignment="1">
      <alignment horizontal="right" vertical="center" wrapText="1" readingOrder="1"/>
    </xf>
    <xf numFmtId="0" fontId="13" fillId="9" borderId="1" xfId="0" applyFont="1" applyFill="1" applyBorder="1" applyAlignment="1">
      <alignment horizontal="right" vertical="center" wrapText="1" readingOrder="1"/>
    </xf>
    <xf numFmtId="0" fontId="13" fillId="9" borderId="4" xfId="0" applyFont="1" applyFill="1" applyBorder="1" applyAlignment="1">
      <alignment horizontal="right" vertical="center" wrapText="1" readingOrder="1"/>
    </xf>
    <xf numFmtId="0" fontId="13" fillId="9" borderId="21" xfId="0" applyFont="1" applyFill="1" applyBorder="1" applyAlignment="1">
      <alignment horizontal="right" vertical="center" wrapText="1" readingOrder="1"/>
    </xf>
    <xf numFmtId="165" fontId="9" fillId="9" borderId="22" xfId="0" applyNumberFormat="1" applyFont="1" applyFill="1" applyBorder="1" applyAlignment="1">
      <alignment horizontal="right" vertical="center" wrapText="1" readingOrder="1"/>
    </xf>
    <xf numFmtId="0" fontId="13" fillId="9" borderId="23" xfId="0" applyFont="1" applyFill="1" applyBorder="1" applyAlignment="1">
      <alignment horizontal="right" vertical="center" wrapText="1" readingOrder="1"/>
    </xf>
    <xf numFmtId="165" fontId="9" fillId="9" borderId="21" xfId="0" applyNumberFormat="1" applyFont="1" applyFill="1" applyBorder="1" applyAlignment="1">
      <alignment horizontal="right" vertical="center" wrapText="1" readingOrder="1"/>
    </xf>
    <xf numFmtId="165" fontId="9" fillId="9" borderId="23" xfId="0" applyNumberFormat="1" applyFont="1" applyFill="1" applyBorder="1" applyAlignment="1">
      <alignment horizontal="right" vertical="center" wrapText="1" readingOrder="1"/>
    </xf>
    <xf numFmtId="165" fontId="9" fillId="9" borderId="24" xfId="0" applyNumberFormat="1" applyFont="1" applyFill="1" applyBorder="1" applyAlignment="1">
      <alignment horizontal="right" vertical="center" wrapText="1" readingOrder="1"/>
    </xf>
    <xf numFmtId="165" fontId="9" fillId="9" borderId="1" xfId="0" applyNumberFormat="1" applyFont="1" applyFill="1" applyBorder="1" applyAlignment="1">
      <alignment horizontal="right" vertical="center" wrapText="1" readingOrder="1"/>
    </xf>
    <xf numFmtId="43" fontId="12" fillId="0" borderId="0" xfId="1" applyFont="1" applyAlignment="1">
      <alignment horizontal="left" vertical="center" wrapText="1" readingOrder="1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 readingOrder="1"/>
    </xf>
    <xf numFmtId="164" fontId="5" fillId="0" borderId="0" xfId="0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44" fontId="12" fillId="0" borderId="0" xfId="2" applyFont="1" applyAlignment="1">
      <alignment horizontal="left" vertical="center" wrapText="1" readingOrder="1"/>
    </xf>
    <xf numFmtId="0" fontId="6" fillId="4" borderId="26" xfId="0" applyFont="1" applyFill="1" applyBorder="1" applyAlignment="1">
      <alignment horizontal="center" vertical="center" wrapText="1" readingOrder="1"/>
    </xf>
    <xf numFmtId="166" fontId="9" fillId="9" borderId="16" xfId="0" applyNumberFormat="1" applyFont="1" applyFill="1" applyBorder="1" applyAlignment="1">
      <alignment horizontal="right" vertical="center" wrapText="1" readingOrder="1"/>
    </xf>
    <xf numFmtId="166" fontId="11" fillId="8" borderId="0" xfId="0" applyNumberFormat="1" applyFont="1" applyFill="1" applyAlignment="1" applyProtection="1">
      <alignment vertical="center" wrapText="1" readingOrder="1"/>
      <protection locked="0"/>
    </xf>
    <xf numFmtId="2" fontId="0" fillId="0" borderId="0" xfId="0" applyNumberFormat="1" applyAlignment="1">
      <alignment vertical="center"/>
    </xf>
    <xf numFmtId="10" fontId="0" fillId="0" borderId="0" xfId="4" applyNumberFormat="1" applyFont="1" applyAlignment="1">
      <alignment vertical="center"/>
    </xf>
    <xf numFmtId="43" fontId="0" fillId="0" borderId="0" xfId="5" applyFont="1" applyAlignment="1">
      <alignment vertical="center"/>
    </xf>
    <xf numFmtId="0" fontId="17" fillId="0" borderId="0" xfId="0" applyFont="1"/>
    <xf numFmtId="0" fontId="18" fillId="2" borderId="1" xfId="0" applyFont="1" applyFill="1" applyBorder="1" applyAlignment="1">
      <alignment horizontal="center" vertical="center" wrapText="1" readingOrder="1"/>
    </xf>
    <xf numFmtId="0" fontId="18" fillId="3" borderId="1" xfId="0" applyFont="1" applyFill="1" applyBorder="1" applyAlignment="1">
      <alignment horizontal="center" vertical="center" wrapText="1" readingOrder="1"/>
    </xf>
    <xf numFmtId="0" fontId="17" fillId="3" borderId="1" xfId="0" applyFont="1" applyFill="1" applyBorder="1" applyAlignment="1">
      <alignment vertical="top" wrapText="1"/>
    </xf>
    <xf numFmtId="0" fontId="20" fillId="0" borderId="1" xfId="0" applyFont="1" applyBorder="1" applyAlignment="1">
      <alignment vertical="top" wrapText="1" readingOrder="1"/>
    </xf>
    <xf numFmtId="167" fontId="20" fillId="0" borderId="1" xfId="0" applyNumberFormat="1" applyFont="1" applyBorder="1" applyAlignment="1">
      <alignment vertical="top" wrapText="1" readingOrder="1"/>
    </xf>
    <xf numFmtId="169" fontId="11" fillId="8" borderId="0" xfId="0" applyNumberFormat="1" applyFont="1" applyFill="1" applyAlignment="1" applyProtection="1">
      <alignment vertical="center" wrapText="1" readingOrder="1"/>
      <protection locked="0"/>
    </xf>
    <xf numFmtId="43" fontId="0" fillId="0" borderId="0" xfId="0" applyNumberFormat="1" applyAlignment="1">
      <alignment vertical="center"/>
    </xf>
    <xf numFmtId="0" fontId="17" fillId="3" borderId="4" xfId="0" applyFont="1" applyFill="1" applyBorder="1" applyAlignment="1">
      <alignment vertical="top" wrapText="1"/>
    </xf>
    <xf numFmtId="0" fontId="17" fillId="3" borderId="2" xfId="0" applyFont="1" applyFill="1" applyBorder="1" applyAlignment="1">
      <alignment vertical="top" wrapText="1"/>
    </xf>
    <xf numFmtId="0" fontId="17" fillId="3" borderId="3" xfId="0" applyFont="1" applyFill="1" applyBorder="1" applyAlignment="1">
      <alignment vertical="top" wrapText="1"/>
    </xf>
    <xf numFmtId="10" fontId="17" fillId="0" borderId="0" xfId="0" applyNumberFormat="1" applyFont="1"/>
    <xf numFmtId="10" fontId="17" fillId="0" borderId="0" xfId="4" applyNumberFormat="1" applyFont="1"/>
    <xf numFmtId="0" fontId="14" fillId="0" borderId="25" xfId="0" applyFont="1" applyBorder="1" applyAlignment="1">
      <alignment horizontal="center" vertical="center" wrapText="1" readingOrder="1"/>
    </xf>
    <xf numFmtId="0" fontId="8" fillId="0" borderId="25" xfId="0" applyFont="1" applyBorder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 wrapText="1" readingOrder="1"/>
    </xf>
    <xf numFmtId="0" fontId="6" fillId="4" borderId="12" xfId="0" applyFont="1" applyFill="1" applyBorder="1" applyAlignment="1">
      <alignment horizontal="center" vertical="center" wrapText="1" readingOrder="1"/>
    </xf>
    <xf numFmtId="0" fontId="7" fillId="5" borderId="27" xfId="0" applyFont="1" applyFill="1" applyBorder="1" applyAlignment="1">
      <alignment horizontal="center" vertical="center"/>
    </xf>
    <xf numFmtId="0" fontId="20" fillId="0" borderId="1" xfId="0" applyFont="1" applyBorder="1" applyAlignment="1">
      <alignment vertical="top" wrapText="1" readingOrder="1"/>
    </xf>
    <xf numFmtId="0" fontId="17" fillId="0" borderId="2" xfId="0" applyFont="1" applyBorder="1" applyAlignment="1">
      <alignment vertical="top" wrapText="1"/>
    </xf>
    <xf numFmtId="0" fontId="17" fillId="0" borderId="3" xfId="0" applyFont="1" applyBorder="1" applyAlignment="1">
      <alignment vertical="top" wrapText="1"/>
    </xf>
    <xf numFmtId="167" fontId="20" fillId="10" borderId="1" xfId="0" applyNumberFormat="1" applyFont="1" applyFill="1" applyBorder="1" applyAlignment="1">
      <alignment vertical="top" wrapText="1" readingOrder="1"/>
    </xf>
    <xf numFmtId="0" fontId="17" fillId="10" borderId="2" xfId="0" applyFont="1" applyFill="1" applyBorder="1" applyAlignment="1">
      <alignment vertical="top" wrapText="1"/>
    </xf>
    <xf numFmtId="0" fontId="17" fillId="10" borderId="3" xfId="0" applyFont="1" applyFill="1" applyBorder="1" applyAlignment="1">
      <alignment vertical="top" wrapText="1"/>
    </xf>
    <xf numFmtId="167" fontId="20" fillId="0" borderId="1" xfId="0" applyNumberFormat="1" applyFont="1" applyBorder="1" applyAlignment="1">
      <alignment vertical="top" wrapText="1" readingOrder="1"/>
    </xf>
    <xf numFmtId="0" fontId="18" fillId="2" borderId="1" xfId="0" applyFont="1" applyFill="1" applyBorder="1" applyAlignment="1">
      <alignment horizontal="center" vertical="center" wrapText="1" readingOrder="1"/>
    </xf>
    <xf numFmtId="0" fontId="18" fillId="3" borderId="1" xfId="0" applyFont="1" applyFill="1" applyBorder="1" applyAlignment="1">
      <alignment horizontal="center" vertical="center" wrapText="1" readingOrder="1"/>
    </xf>
    <xf numFmtId="0" fontId="17" fillId="0" borderId="0" xfId="0" applyFont="1"/>
    <xf numFmtId="0" fontId="18" fillId="0" borderId="0" xfId="0" applyFont="1" applyAlignment="1">
      <alignment vertical="top" wrapText="1" readingOrder="1"/>
    </xf>
    <xf numFmtId="168" fontId="19" fillId="0" borderId="0" xfId="0" applyNumberFormat="1" applyFont="1" applyAlignment="1">
      <alignment horizontal="left" vertical="top" wrapText="1" readingOrder="1"/>
    </xf>
    <xf numFmtId="0" fontId="19" fillId="0" borderId="0" xfId="0" applyFont="1" applyAlignment="1">
      <alignment horizontal="left" vertical="top" wrapText="1" readingOrder="1"/>
    </xf>
  </cellXfs>
  <cellStyles count="6">
    <cellStyle name="Millares" xfId="5" builtinId="3"/>
    <cellStyle name="Millares 2" xfId="1" xr:uid="{00000000-0005-0000-0000-000000000000}"/>
    <cellStyle name="Moneda 2" xfId="2" xr:uid="{00000000-0005-0000-0000-000001000000}"/>
    <cellStyle name="Normal" xfId="0" builtinId="0"/>
    <cellStyle name="Normal 2" xfId="3" xr:uid="{00000000-0005-0000-0000-000003000000}"/>
    <cellStyle name="Porcentaje" xfId="4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5F5F5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723900</xdr:colOff>
      <xdr:row>11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29C425-53A1-4E52-8DD9-E0B0209D3A4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" y="342900"/>
          <a:ext cx="1514475" cy="504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2</xdr:col>
      <xdr:colOff>723900</xdr:colOff>
      <xdr:row>11</xdr:row>
      <xdr:rowOff>38100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CE50D49B-84B6-479C-BD48-3D3704EF8D6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725" y="342900"/>
          <a:ext cx="1514475" cy="504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2</xdr:col>
      <xdr:colOff>723900</xdr:colOff>
      <xdr:row>11</xdr:row>
      <xdr:rowOff>38100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73962ED6-6913-4C4D-A49D-75F4C4D3BB1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725" y="342900"/>
          <a:ext cx="1514475" cy="504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2</xdr:col>
      <xdr:colOff>723900</xdr:colOff>
      <xdr:row>11</xdr:row>
      <xdr:rowOff>38100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6EE539ED-CE3E-4108-97AF-FDBAED9CD66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725" y="342900"/>
          <a:ext cx="1514475" cy="504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2</xdr:col>
      <xdr:colOff>723900</xdr:colOff>
      <xdr:row>11</xdr:row>
      <xdr:rowOff>38100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61BB569C-479D-41F9-BD22-727D77FFFB9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725" y="342900"/>
          <a:ext cx="1514475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B8616-5569-48FA-93F9-688637DBE514}">
  <sheetPr>
    <outlinePr summaryBelow="0"/>
  </sheetPr>
  <dimension ref="B1:AG28"/>
  <sheetViews>
    <sheetView showGridLines="0" topLeftCell="A17" workbookViewId="0">
      <pane xSplit="7" topLeftCell="V1" activePane="topRight" state="frozen"/>
      <selection activeCell="A14" sqref="A14"/>
      <selection pane="topRight" activeCell="Z25" sqref="Z25:AB25"/>
    </sheetView>
  </sheetViews>
  <sheetFormatPr baseColWidth="10" defaultColWidth="11.44140625" defaultRowHeight="14.4" outlineLevelCol="1" x14ac:dyDescent="0.3"/>
  <cols>
    <col min="1" max="1" width="1.33203125" style="54" customWidth="1"/>
    <col min="2" max="2" width="11.88671875" style="54" customWidth="1"/>
    <col min="3" max="3" width="11" style="54" customWidth="1"/>
    <col min="4" max="4" width="2.6640625" style="54" customWidth="1"/>
    <col min="5" max="5" width="4.109375" style="54" customWidth="1"/>
    <col min="6" max="6" width="13.5546875" style="54" customWidth="1"/>
    <col min="7" max="7" width="13.44140625" style="54" customWidth="1"/>
    <col min="8" max="8" width="2.33203125" style="54" customWidth="1" outlineLevel="1"/>
    <col min="9" max="9" width="0.109375" style="54" customWidth="1" outlineLevel="1"/>
    <col min="10" max="10" width="2.88671875" style="54" customWidth="1" outlineLevel="1"/>
    <col min="11" max="11" width="7.88671875" style="54" customWidth="1" outlineLevel="1"/>
    <col min="12" max="12" width="2.33203125" style="54" customWidth="1" outlineLevel="1"/>
    <col min="13" max="13" width="7.109375" style="54" customWidth="1" outlineLevel="1"/>
    <col min="14" max="14" width="1.33203125" style="54" customWidth="1" outlineLevel="1"/>
    <col min="15" max="15" width="2.44140625" style="54" customWidth="1" outlineLevel="1"/>
    <col min="16" max="16" width="4.33203125" style="54" customWidth="1" outlineLevel="1"/>
    <col min="17" max="17" width="6.44140625" style="54" customWidth="1" outlineLevel="1"/>
    <col min="18" max="18" width="8.88671875" style="54" customWidth="1" outlineLevel="1"/>
    <col min="19" max="19" width="3.33203125" style="54" customWidth="1"/>
    <col min="20" max="20" width="1.5546875" style="54" customWidth="1"/>
    <col min="21" max="21" width="10.44140625" style="54" customWidth="1"/>
    <col min="22" max="24" width="15.33203125" style="54" customWidth="1" outlineLevel="1"/>
    <col min="25" max="25" width="15.33203125" style="54" customWidth="1"/>
    <col min="26" max="32" width="15.33203125" style="54" customWidth="1" outlineLevel="1"/>
    <col min="33" max="33" width="15.33203125" style="54" customWidth="1"/>
    <col min="34" max="16384" width="11.44140625" style="54"/>
  </cols>
  <sheetData>
    <row r="1" spans="2:19" ht="7.2" customHeight="1" x14ac:dyDescent="0.3"/>
    <row r="2" spans="2:19" ht="5.7" customHeight="1" x14ac:dyDescent="0.3"/>
    <row r="3" spans="2:19" x14ac:dyDescent="0.3">
      <c r="L3" s="89" t="s">
        <v>0</v>
      </c>
      <c r="M3" s="88"/>
      <c r="P3" s="90">
        <v>46255.617761539397</v>
      </c>
      <c r="Q3" s="88"/>
      <c r="R3" s="88"/>
      <c r="S3" s="88"/>
    </row>
    <row r="4" spans="2:19" ht="14.1" customHeight="1" x14ac:dyDescent="0.3">
      <c r="B4" s="88"/>
      <c r="C4" s="88"/>
      <c r="E4" s="89" t="s">
        <v>1</v>
      </c>
      <c r="F4" s="88"/>
      <c r="G4" s="88"/>
      <c r="H4" s="88"/>
      <c r="I4" s="88"/>
      <c r="J4" s="88"/>
      <c r="L4" s="88"/>
      <c r="M4" s="88"/>
      <c r="P4" s="88"/>
      <c r="Q4" s="88"/>
      <c r="R4" s="88"/>
      <c r="S4" s="88"/>
    </row>
    <row r="5" spans="2:19" ht="1.5" customHeight="1" x14ac:dyDescent="0.3">
      <c r="B5" s="88"/>
      <c r="C5" s="88"/>
      <c r="L5" s="88"/>
      <c r="M5" s="88"/>
      <c r="P5" s="88"/>
      <c r="Q5" s="88"/>
      <c r="R5" s="88"/>
      <c r="S5" s="88"/>
    </row>
    <row r="6" spans="2:19" ht="0.9" customHeight="1" x14ac:dyDescent="0.3">
      <c r="B6" s="88"/>
      <c r="C6" s="88"/>
      <c r="E6" s="89" t="s">
        <v>2</v>
      </c>
      <c r="F6" s="88"/>
      <c r="G6" s="88"/>
      <c r="H6" s="88"/>
      <c r="L6" s="88"/>
      <c r="M6" s="88"/>
      <c r="P6" s="88"/>
      <c r="Q6" s="88"/>
      <c r="R6" s="88"/>
      <c r="S6" s="88"/>
    </row>
    <row r="7" spans="2:19" ht="1.65" customHeight="1" x14ac:dyDescent="0.3">
      <c r="B7" s="88"/>
      <c r="C7" s="88"/>
      <c r="E7" s="88"/>
      <c r="F7" s="88"/>
      <c r="G7" s="88"/>
      <c r="H7" s="88"/>
    </row>
    <row r="8" spans="2:19" ht="11.4" customHeight="1" x14ac:dyDescent="0.3">
      <c r="B8" s="88"/>
      <c r="C8" s="88"/>
      <c r="E8" s="88"/>
      <c r="F8" s="88"/>
      <c r="G8" s="88"/>
      <c r="H8" s="88"/>
      <c r="L8" s="89" t="s">
        <v>3</v>
      </c>
      <c r="M8" s="88"/>
      <c r="P8" s="91" t="s">
        <v>4</v>
      </c>
      <c r="Q8" s="88"/>
      <c r="R8" s="88"/>
      <c r="S8" s="88"/>
    </row>
    <row r="9" spans="2:19" ht="2.85" customHeight="1" x14ac:dyDescent="0.3">
      <c r="B9" s="88"/>
      <c r="C9" s="88"/>
      <c r="L9" s="88"/>
      <c r="M9" s="88"/>
      <c r="P9" s="88"/>
      <c r="Q9" s="88"/>
      <c r="R9" s="88"/>
      <c r="S9" s="88"/>
    </row>
    <row r="10" spans="2:19" ht="3.6" customHeight="1" x14ac:dyDescent="0.3">
      <c r="B10" s="88"/>
      <c r="C10" s="88"/>
      <c r="E10" s="89" t="s">
        <v>5</v>
      </c>
      <c r="F10" s="88"/>
      <c r="G10" s="88"/>
      <c r="H10" s="88"/>
      <c r="I10" s="88"/>
      <c r="L10" s="88"/>
      <c r="M10" s="88"/>
      <c r="P10" s="88"/>
      <c r="Q10" s="88"/>
      <c r="R10" s="88"/>
      <c r="S10" s="88"/>
    </row>
    <row r="11" spans="2:19" ht="3.15" customHeight="1" x14ac:dyDescent="0.3">
      <c r="B11" s="88"/>
      <c r="C11" s="88"/>
      <c r="E11" s="88"/>
      <c r="F11" s="88"/>
      <c r="G11" s="88"/>
      <c r="H11" s="88"/>
      <c r="I11" s="88"/>
    </row>
    <row r="12" spans="2:19" ht="3" customHeight="1" x14ac:dyDescent="0.3">
      <c r="B12" s="88"/>
      <c r="C12" s="88"/>
      <c r="E12" s="88"/>
      <c r="F12" s="88"/>
      <c r="G12" s="88"/>
      <c r="H12" s="88"/>
      <c r="I12" s="88"/>
      <c r="L12" s="89" t="s">
        <v>6</v>
      </c>
      <c r="M12" s="88"/>
      <c r="N12" s="88"/>
      <c r="P12" s="91" t="s">
        <v>7</v>
      </c>
      <c r="Q12" s="88"/>
      <c r="R12" s="88"/>
      <c r="S12" s="88"/>
    </row>
    <row r="13" spans="2:19" x14ac:dyDescent="0.3">
      <c r="E13" s="88"/>
      <c r="F13" s="88"/>
      <c r="G13" s="88"/>
      <c r="H13" s="88"/>
      <c r="I13" s="88"/>
      <c r="L13" s="88"/>
      <c r="M13" s="88"/>
      <c r="N13" s="88"/>
      <c r="P13" s="88"/>
      <c r="Q13" s="88"/>
      <c r="R13" s="88"/>
      <c r="S13" s="88"/>
    </row>
    <row r="14" spans="2:19" x14ac:dyDescent="0.3">
      <c r="L14" s="88"/>
      <c r="M14" s="88"/>
      <c r="N14" s="88"/>
      <c r="P14" s="88"/>
      <c r="Q14" s="88"/>
      <c r="R14" s="88"/>
      <c r="S14" s="88"/>
    </row>
    <row r="15" spans="2:19" x14ac:dyDescent="0.3">
      <c r="E15" s="89" t="s">
        <v>8</v>
      </c>
      <c r="F15" s="88"/>
      <c r="G15" s="88"/>
      <c r="H15" s="88"/>
      <c r="I15" s="88"/>
      <c r="J15" s="88"/>
      <c r="L15" s="88"/>
      <c r="M15" s="88"/>
      <c r="N15" s="88"/>
      <c r="P15" s="88"/>
      <c r="Q15" s="88"/>
      <c r="R15" s="88"/>
      <c r="S15" s="88"/>
    </row>
    <row r="16" spans="2:19" x14ac:dyDescent="0.3">
      <c r="E16" s="88"/>
      <c r="F16" s="88"/>
      <c r="G16" s="88"/>
      <c r="H16" s="88"/>
      <c r="I16" s="88"/>
      <c r="J16" s="88"/>
    </row>
    <row r="17" spans="2:33" x14ac:dyDescent="0.3">
      <c r="E17" s="88"/>
      <c r="F17" s="88"/>
      <c r="G17" s="88"/>
      <c r="H17" s="88"/>
      <c r="I17" s="88"/>
      <c r="J17" s="88"/>
      <c r="L17" s="89" t="s">
        <v>9</v>
      </c>
      <c r="M17" s="88"/>
      <c r="P17" s="91">
        <v>1</v>
      </c>
      <c r="Q17" s="88"/>
    </row>
    <row r="18" spans="2:33" x14ac:dyDescent="0.3">
      <c r="L18" s="88"/>
      <c r="M18" s="88"/>
      <c r="P18" s="88"/>
      <c r="Q18" s="88"/>
    </row>
    <row r="19" spans="2:33" ht="5.85" customHeight="1" x14ac:dyDescent="0.3"/>
    <row r="20" spans="2:33" ht="7.5" customHeight="1" x14ac:dyDescent="0.3"/>
    <row r="21" spans="2:33" ht="5.0999999999999996" customHeight="1" x14ac:dyDescent="0.3"/>
    <row r="22" spans="2:33" x14ac:dyDescent="0.3">
      <c r="B22" s="55" t="s">
        <v>10</v>
      </c>
      <c r="C22" s="86" t="s">
        <v>11</v>
      </c>
      <c r="D22" s="80"/>
      <c r="E22" s="81"/>
      <c r="F22" s="55" t="s">
        <v>12</v>
      </c>
      <c r="G22" s="55" t="s">
        <v>13</v>
      </c>
      <c r="H22" s="86" t="s">
        <v>14</v>
      </c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1"/>
      <c r="V22" s="86" t="s">
        <v>15</v>
      </c>
      <c r="W22" s="80"/>
      <c r="X22" s="80"/>
      <c r="Y22" s="81"/>
      <c r="Z22" s="86" t="s">
        <v>16</v>
      </c>
      <c r="AA22" s="80"/>
      <c r="AB22" s="80"/>
      <c r="AC22" s="80"/>
      <c r="AD22" s="80"/>
      <c r="AE22" s="80"/>
      <c r="AF22" s="80"/>
      <c r="AG22" s="81"/>
    </row>
    <row r="23" spans="2:33" ht="36" x14ac:dyDescent="0.3">
      <c r="B23" s="55" t="s">
        <v>17</v>
      </c>
      <c r="C23" s="86" t="s">
        <v>17</v>
      </c>
      <c r="D23" s="80"/>
      <c r="E23" s="81"/>
      <c r="F23" s="55" t="s">
        <v>17</v>
      </c>
      <c r="G23" s="55" t="s">
        <v>17</v>
      </c>
      <c r="H23" s="87" t="s">
        <v>18</v>
      </c>
      <c r="I23" s="80"/>
      <c r="J23" s="80"/>
      <c r="K23" s="80"/>
      <c r="L23" s="81"/>
      <c r="M23" s="87" t="s">
        <v>19</v>
      </c>
      <c r="N23" s="80"/>
      <c r="O23" s="80"/>
      <c r="P23" s="81"/>
      <c r="Q23" s="87" t="s">
        <v>20</v>
      </c>
      <c r="R23" s="81"/>
      <c r="S23" s="62"/>
      <c r="T23" s="63"/>
      <c r="U23" s="64"/>
      <c r="V23" s="56" t="s">
        <v>21</v>
      </c>
      <c r="W23" s="56" t="s">
        <v>22</v>
      </c>
      <c r="X23" s="56" t="s">
        <v>23</v>
      </c>
      <c r="Y23" s="57"/>
      <c r="Z23" s="56" t="s">
        <v>24</v>
      </c>
      <c r="AA23" s="56" t="s">
        <v>25</v>
      </c>
      <c r="AB23" s="56" t="s">
        <v>26</v>
      </c>
      <c r="AC23" s="56" t="s">
        <v>27</v>
      </c>
      <c r="AD23" s="56" t="s">
        <v>28</v>
      </c>
      <c r="AE23" s="56" t="s">
        <v>29</v>
      </c>
      <c r="AF23" s="56" t="s">
        <v>30</v>
      </c>
      <c r="AG23" s="57"/>
    </row>
    <row r="24" spans="2:33" x14ac:dyDescent="0.3">
      <c r="B24" s="55" t="s">
        <v>17</v>
      </c>
      <c r="C24" s="86" t="s">
        <v>17</v>
      </c>
      <c r="D24" s="80"/>
      <c r="E24" s="81"/>
      <c r="F24" s="55" t="s">
        <v>17</v>
      </c>
      <c r="G24" s="55" t="s">
        <v>17</v>
      </c>
      <c r="H24" s="87" t="s">
        <v>31</v>
      </c>
      <c r="I24" s="80"/>
      <c r="J24" s="80"/>
      <c r="K24" s="80"/>
      <c r="L24" s="81"/>
      <c r="M24" s="87" t="s">
        <v>31</v>
      </c>
      <c r="N24" s="80"/>
      <c r="O24" s="80"/>
      <c r="P24" s="81"/>
      <c r="Q24" s="87" t="s">
        <v>31</v>
      </c>
      <c r="R24" s="81"/>
      <c r="S24" s="87" t="s">
        <v>31</v>
      </c>
      <c r="T24" s="80"/>
      <c r="U24" s="81"/>
      <c r="V24" s="56" t="s">
        <v>31</v>
      </c>
      <c r="W24" s="56" t="s">
        <v>31</v>
      </c>
      <c r="X24" s="56" t="s">
        <v>31</v>
      </c>
      <c r="Y24" s="56" t="s">
        <v>31</v>
      </c>
      <c r="Z24" s="56" t="s">
        <v>31</v>
      </c>
      <c r="AA24" s="56" t="s">
        <v>31</v>
      </c>
      <c r="AB24" s="56" t="s">
        <v>31</v>
      </c>
      <c r="AC24" s="56" t="s">
        <v>31</v>
      </c>
      <c r="AD24" s="56" t="s">
        <v>31</v>
      </c>
      <c r="AE24" s="56" t="s">
        <v>31</v>
      </c>
      <c r="AF24" s="56" t="s">
        <v>31</v>
      </c>
      <c r="AG24" s="56" t="s">
        <v>31</v>
      </c>
    </row>
    <row r="25" spans="2:33" x14ac:dyDescent="0.3">
      <c r="B25" s="58" t="s">
        <v>32</v>
      </c>
      <c r="C25" s="79" t="s">
        <v>33</v>
      </c>
      <c r="D25" s="80"/>
      <c r="E25" s="81"/>
      <c r="F25" s="58" t="s">
        <v>34</v>
      </c>
      <c r="G25" s="58" t="s">
        <v>35</v>
      </c>
      <c r="H25" s="82">
        <v>3500810</v>
      </c>
      <c r="I25" s="83"/>
      <c r="J25" s="83"/>
      <c r="K25" s="83"/>
      <c r="L25" s="84"/>
      <c r="M25" s="82">
        <v>300069</v>
      </c>
      <c r="N25" s="83"/>
      <c r="O25" s="83"/>
      <c r="P25" s="84"/>
      <c r="Q25" s="82">
        <v>559121</v>
      </c>
      <c r="R25" s="84"/>
      <c r="S25" s="85">
        <v>4360000</v>
      </c>
      <c r="T25" s="80"/>
      <c r="U25" s="81"/>
      <c r="V25" s="59">
        <v>174400</v>
      </c>
      <c r="W25" s="59">
        <v>174400</v>
      </c>
      <c r="X25" s="59">
        <v>2180000</v>
      </c>
      <c r="Y25" s="59">
        <v>2528800</v>
      </c>
      <c r="Z25" s="59">
        <v>523200</v>
      </c>
      <c r="AA25" s="59">
        <v>22800</v>
      </c>
      <c r="AB25" s="59">
        <v>174400</v>
      </c>
      <c r="AC25" s="59">
        <v>363188</v>
      </c>
      <c r="AD25" s="59">
        <v>363188</v>
      </c>
      <c r="AE25" s="59">
        <v>43600</v>
      </c>
      <c r="AF25" s="59">
        <v>181812</v>
      </c>
      <c r="AG25" s="59">
        <v>1672188</v>
      </c>
    </row>
    <row r="26" spans="2:33" x14ac:dyDescent="0.3">
      <c r="B26" s="58" t="s">
        <v>36</v>
      </c>
      <c r="C26" s="79" t="s">
        <v>37</v>
      </c>
      <c r="D26" s="80"/>
      <c r="E26" s="81"/>
      <c r="F26" s="58" t="s">
        <v>38</v>
      </c>
      <c r="G26" s="58" t="s">
        <v>39</v>
      </c>
      <c r="H26" s="82">
        <v>3500810</v>
      </c>
      <c r="I26" s="83"/>
      <c r="J26" s="83"/>
      <c r="K26" s="83"/>
      <c r="L26" s="84"/>
      <c r="M26" s="82">
        <v>300069</v>
      </c>
      <c r="N26" s="83"/>
      <c r="O26" s="83"/>
      <c r="P26" s="84"/>
      <c r="Q26" s="82">
        <v>559121</v>
      </c>
      <c r="R26" s="84"/>
      <c r="S26" s="85">
        <v>4360000</v>
      </c>
      <c r="T26" s="80"/>
      <c r="U26" s="81"/>
      <c r="V26" s="59">
        <v>174400</v>
      </c>
      <c r="W26" s="59">
        <v>174400</v>
      </c>
      <c r="X26" s="59">
        <v>2180000</v>
      </c>
      <c r="Y26" s="59">
        <v>2528800</v>
      </c>
      <c r="Z26" s="59">
        <v>523200</v>
      </c>
      <c r="AA26" s="59">
        <v>22800</v>
      </c>
      <c r="AB26" s="59">
        <v>174400</v>
      </c>
      <c r="AC26" s="59">
        <v>363188</v>
      </c>
      <c r="AD26" s="59">
        <v>363188</v>
      </c>
      <c r="AE26" s="59">
        <v>43600</v>
      </c>
      <c r="AF26" s="59">
        <v>181812</v>
      </c>
      <c r="AG26" s="59">
        <v>1672188</v>
      </c>
    </row>
    <row r="27" spans="2:33" x14ac:dyDescent="0.3">
      <c r="AD27" s="65"/>
    </row>
    <row r="28" spans="2:33" x14ac:dyDescent="0.3">
      <c r="AD28" s="66"/>
    </row>
  </sheetData>
  <mergeCells count="36">
    <mergeCell ref="Z22:AG22"/>
    <mergeCell ref="B4:C12"/>
    <mergeCell ref="L3:M6"/>
    <mergeCell ref="P3:S6"/>
    <mergeCell ref="E4:J4"/>
    <mergeCell ref="E6:H8"/>
    <mergeCell ref="L8:M10"/>
    <mergeCell ref="P8:S10"/>
    <mergeCell ref="E10:I13"/>
    <mergeCell ref="L12:N15"/>
    <mergeCell ref="P12:S15"/>
    <mergeCell ref="E15:J17"/>
    <mergeCell ref="L17:M18"/>
    <mergeCell ref="P17:Q18"/>
    <mergeCell ref="C22:E22"/>
    <mergeCell ref="V22:Y22"/>
    <mergeCell ref="C24:E24"/>
    <mergeCell ref="H24:L24"/>
    <mergeCell ref="M24:P24"/>
    <mergeCell ref="Q24:R24"/>
    <mergeCell ref="S24:U24"/>
    <mergeCell ref="C23:E23"/>
    <mergeCell ref="H23:L23"/>
    <mergeCell ref="M23:P23"/>
    <mergeCell ref="Q23:R23"/>
    <mergeCell ref="H22:U22"/>
    <mergeCell ref="C25:E25"/>
    <mergeCell ref="H25:L25"/>
    <mergeCell ref="M25:P25"/>
    <mergeCell ref="Q25:R25"/>
    <mergeCell ref="S25:U25"/>
    <mergeCell ref="C26:E26"/>
    <mergeCell ref="H26:L26"/>
    <mergeCell ref="M26:P26"/>
    <mergeCell ref="Q26:R26"/>
    <mergeCell ref="S26:U26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986"/>
  <sheetViews>
    <sheetView tabSelected="1" zoomScale="110" zoomScaleNormal="110" workbookViewId="0">
      <pane xSplit="2" ySplit="3" topLeftCell="AL4" activePane="bottomRight" state="frozen"/>
      <selection pane="topRight" activeCell="C1" sqref="C1"/>
      <selection pane="bottomLeft" activeCell="A4" sqref="A4"/>
      <selection pane="bottomRight" activeCell="AS9" sqref="AS9"/>
    </sheetView>
  </sheetViews>
  <sheetFormatPr baseColWidth="10" defaultColWidth="14.44140625" defaultRowHeight="14.4" x14ac:dyDescent="0.3"/>
  <cols>
    <col min="1" max="1" width="15" style="3" customWidth="1"/>
    <col min="2" max="2" width="32" style="3" customWidth="1"/>
    <col min="3" max="3" width="12.33203125" style="3" bestFit="1" customWidth="1"/>
    <col min="4" max="5" width="9.88671875" style="3" customWidth="1"/>
    <col min="6" max="6" width="12.5546875" style="3" customWidth="1"/>
    <col min="7" max="7" width="13.88671875" style="3" customWidth="1"/>
    <col min="8" max="8" width="17.33203125" style="3" customWidth="1"/>
    <col min="9" max="10" width="8.109375" style="3" customWidth="1"/>
    <col min="11" max="11" width="7.88671875" style="3" customWidth="1"/>
    <col min="12" max="12" width="8.109375" style="3" customWidth="1"/>
    <col min="13" max="13" width="9.88671875" style="3" customWidth="1"/>
    <col min="14" max="14" width="7.88671875" style="3" customWidth="1"/>
    <col min="15" max="15" width="8.109375" style="3" customWidth="1"/>
    <col min="16" max="16" width="8.6640625" style="3" bestFit="1" customWidth="1"/>
    <col min="17" max="17" width="7.88671875" style="3" customWidth="1"/>
    <col min="18" max="18" width="8.109375" style="3" customWidth="1"/>
    <col min="19" max="19" width="8.6640625" style="3" bestFit="1" customWidth="1"/>
    <col min="20" max="20" width="7.88671875" style="3" customWidth="1"/>
    <col min="21" max="22" width="8.109375" style="3" customWidth="1"/>
    <col min="23" max="23" width="11.33203125" style="3" customWidth="1"/>
    <col min="24" max="30" width="12.5546875" style="3" customWidth="1"/>
    <col min="31" max="31" width="12.44140625" style="3" customWidth="1"/>
    <col min="32" max="32" width="14.88671875" style="3" customWidth="1"/>
    <col min="33" max="33" width="12" style="3" bestFit="1" customWidth="1"/>
    <col min="34" max="34" width="11.44140625" style="3" bestFit="1" customWidth="1"/>
    <col min="35" max="35" width="11.109375" style="3" bestFit="1" customWidth="1"/>
    <col min="36" max="36" width="17.88671875" style="3" customWidth="1"/>
    <col min="37" max="41" width="12.5546875" style="3" customWidth="1"/>
    <col min="42" max="42" width="6.88671875" style="3" bestFit="1" customWidth="1"/>
    <col min="43" max="43" width="12.5546875" style="3" customWidth="1"/>
    <col min="44" max="44" width="10" style="3" bestFit="1" customWidth="1"/>
    <col min="45" max="45" width="11.6640625" style="3" bestFit="1" customWidth="1"/>
    <col min="46" max="46" width="7.88671875" style="3" bestFit="1" customWidth="1"/>
    <col min="47" max="47" width="10" style="3" bestFit="1" customWidth="1"/>
    <col min="48" max="48" width="7.88671875" style="3" bestFit="1" customWidth="1"/>
    <col min="49" max="16384" width="14.44140625" style="3"/>
  </cols>
  <sheetData>
    <row r="1" spans="1:49" ht="34.5" customHeight="1" x14ac:dyDescent="0.3">
      <c r="A1" s="1"/>
      <c r="B1" s="2" t="s">
        <v>40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  <c r="AE1" s="6"/>
      <c r="AJ1" s="6"/>
      <c r="AU1" s="6"/>
    </row>
    <row r="2" spans="1:49" ht="18.600000000000001" thickBot="1" x14ac:dyDescent="0.35">
      <c r="E2" s="7" t="s">
        <v>41</v>
      </c>
      <c r="F2" s="7" t="s">
        <v>42</v>
      </c>
      <c r="G2" s="3">
        <v>20</v>
      </c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70"/>
      <c r="X2" s="8"/>
      <c r="Y2" s="71" t="s">
        <v>43</v>
      </c>
      <c r="Z2" s="72"/>
      <c r="AA2" s="72"/>
      <c r="AB2" s="72"/>
      <c r="AC2" s="72"/>
      <c r="AD2" s="72"/>
      <c r="AE2" s="73"/>
      <c r="AF2" s="8"/>
      <c r="AG2" s="71" t="s">
        <v>44</v>
      </c>
      <c r="AH2" s="74"/>
      <c r="AI2" s="74"/>
      <c r="AJ2" s="75"/>
      <c r="AK2" s="8"/>
      <c r="AL2" s="78" t="s">
        <v>45</v>
      </c>
      <c r="AM2" s="69"/>
      <c r="AN2" s="8"/>
      <c r="AO2" s="71" t="s">
        <v>46</v>
      </c>
      <c r="AP2" s="72"/>
      <c r="AQ2" s="72"/>
      <c r="AR2" s="72"/>
      <c r="AS2" s="72"/>
      <c r="AT2" s="72"/>
      <c r="AU2" s="72"/>
      <c r="AV2" s="8"/>
    </row>
    <row r="3" spans="1:49" ht="27" x14ac:dyDescent="0.3">
      <c r="A3" s="9" t="s">
        <v>47</v>
      </c>
      <c r="B3" s="9" t="s">
        <v>48</v>
      </c>
      <c r="C3" s="9" t="s">
        <v>49</v>
      </c>
      <c r="D3" s="7" t="s">
        <v>50</v>
      </c>
      <c r="E3" s="7" t="s">
        <v>41</v>
      </c>
      <c r="F3" s="7" t="s">
        <v>51</v>
      </c>
      <c r="G3" s="10" t="s">
        <v>52</v>
      </c>
      <c r="H3" s="76" t="s">
        <v>53</v>
      </c>
      <c r="I3" s="77"/>
      <c r="J3" s="10" t="s">
        <v>54</v>
      </c>
      <c r="K3" s="76" t="s">
        <v>55</v>
      </c>
      <c r="L3" s="77"/>
      <c r="M3" s="10" t="s">
        <v>56</v>
      </c>
      <c r="N3" s="76" t="s">
        <v>57</v>
      </c>
      <c r="O3" s="77"/>
      <c r="P3" s="11" t="s">
        <v>58</v>
      </c>
      <c r="Q3" s="76" t="s">
        <v>59</v>
      </c>
      <c r="R3" s="77"/>
      <c r="S3" s="10" t="s">
        <v>60</v>
      </c>
      <c r="T3" s="76" t="s">
        <v>61</v>
      </c>
      <c r="U3" s="77"/>
      <c r="V3" s="10" t="s">
        <v>62</v>
      </c>
      <c r="W3" s="12" t="s">
        <v>63</v>
      </c>
      <c r="X3" s="13"/>
      <c r="Y3" s="14" t="s">
        <v>64</v>
      </c>
      <c r="Z3" s="14" t="s">
        <v>65</v>
      </c>
      <c r="AA3" s="14" t="s">
        <v>66</v>
      </c>
      <c r="AB3" s="14" t="s">
        <v>67</v>
      </c>
      <c r="AC3" s="14" t="s">
        <v>68</v>
      </c>
      <c r="AD3" s="14" t="s">
        <v>69</v>
      </c>
      <c r="AE3" s="14" t="s">
        <v>70</v>
      </c>
      <c r="AF3" s="15"/>
      <c r="AG3" s="14" t="s">
        <v>71</v>
      </c>
      <c r="AH3" s="14" t="s">
        <v>72</v>
      </c>
      <c r="AI3" s="14" t="s">
        <v>73</v>
      </c>
      <c r="AJ3" s="14" t="s">
        <v>70</v>
      </c>
      <c r="AK3" s="15"/>
      <c r="AL3" s="14" t="s">
        <v>74</v>
      </c>
      <c r="AM3" s="14" t="s">
        <v>70</v>
      </c>
      <c r="AN3" s="15"/>
      <c r="AO3" s="14" t="s">
        <v>75</v>
      </c>
      <c r="AP3" s="14" t="s">
        <v>76</v>
      </c>
      <c r="AQ3" s="14" t="s">
        <v>77</v>
      </c>
      <c r="AR3" s="14" t="s">
        <v>41</v>
      </c>
      <c r="AS3" s="48" t="s">
        <v>78</v>
      </c>
      <c r="AT3" s="48" t="s">
        <v>79</v>
      </c>
      <c r="AU3" s="16" t="s">
        <v>80</v>
      </c>
      <c r="AV3" s="15"/>
    </row>
    <row r="4" spans="1:49" ht="13.5" customHeight="1" x14ac:dyDescent="0.3">
      <c r="A4" s="17" t="str">
        <f>CONCATENATE('C&amp;P'!B25)</f>
        <v xml:space="preserve">1020781908  </v>
      </c>
      <c r="B4" s="17" t="str">
        <f>CONCATENATE('C&amp;P'!C25," ",'C&amp;P'!D25," ",'C&amp;P'!E25)</f>
        <v xml:space="preserve">FRANCY MILENA  </v>
      </c>
      <c r="C4" s="19">
        <v>3688.46</v>
      </c>
      <c r="D4" s="19">
        <v>6.5</v>
      </c>
      <c r="E4" s="19">
        <v>3205.87</v>
      </c>
      <c r="F4" s="20">
        <v>176</v>
      </c>
      <c r="G4" s="21">
        <f>H4/E4</f>
        <v>1091.9999875228877</v>
      </c>
      <c r="H4" s="21">
        <f>'C&amp;P'!H25</f>
        <v>3500810</v>
      </c>
      <c r="I4" s="22">
        <v>168</v>
      </c>
      <c r="J4" s="21">
        <f>K4/E4</f>
        <v>93.599865247187196</v>
      </c>
      <c r="K4" s="18">
        <f>'C&amp;P'!M25</f>
        <v>300069</v>
      </c>
      <c r="L4" s="22">
        <v>8</v>
      </c>
      <c r="M4" s="21">
        <f>N4/E4</f>
        <v>0</v>
      </c>
      <c r="N4" s="18">
        <v>0</v>
      </c>
      <c r="O4" s="22">
        <v>48</v>
      </c>
      <c r="P4" s="23">
        <f>Q4/E4</f>
        <v>174.4053876170899</v>
      </c>
      <c r="Q4" s="18">
        <f>'C&amp;P'!Q25</f>
        <v>559121</v>
      </c>
      <c r="R4" s="22">
        <v>0</v>
      </c>
      <c r="S4" s="21">
        <f>T4/E4</f>
        <v>0</v>
      </c>
      <c r="T4" s="18">
        <v>0</v>
      </c>
      <c r="U4" s="22">
        <v>0</v>
      </c>
      <c r="V4" s="24">
        <f>W4/$E4</f>
        <v>1360.0052403871648</v>
      </c>
      <c r="W4" s="25">
        <f>SUM($H4,$K4,$N4,$Q4,$T4)</f>
        <v>4360000</v>
      </c>
      <c r="X4" s="26"/>
      <c r="Y4" s="18">
        <f>'C&amp;P'!Z25</f>
        <v>523200</v>
      </c>
      <c r="Z4" s="18">
        <v>0</v>
      </c>
      <c r="AA4" s="18">
        <f>'C&amp;P'!AA25</f>
        <v>22800</v>
      </c>
      <c r="AB4" s="18">
        <f>'C&amp;P'!AB25</f>
        <v>174400</v>
      </c>
      <c r="AC4" s="18">
        <v>0</v>
      </c>
      <c r="AD4" s="18">
        <v>0</v>
      </c>
      <c r="AE4" s="27">
        <f>SUM(Y4:AD4)</f>
        <v>720400</v>
      </c>
      <c r="AF4" s="26"/>
      <c r="AG4" s="18">
        <f>'C&amp;P'!AC25</f>
        <v>363188</v>
      </c>
      <c r="AH4" s="18">
        <f>'C&amp;P'!AD25</f>
        <v>363188</v>
      </c>
      <c r="AI4" s="18">
        <f>'C&amp;P'!AE25</f>
        <v>43600</v>
      </c>
      <c r="AJ4" s="28">
        <f>SUM(AG4:AI4)</f>
        <v>769976</v>
      </c>
      <c r="AK4" s="26"/>
      <c r="AL4" s="18">
        <v>0</v>
      </c>
      <c r="AM4" s="28">
        <f>SUM(AL4)</f>
        <v>0</v>
      </c>
      <c r="AN4" s="26"/>
      <c r="AO4" s="18">
        <f>W4+AE4+AJ4+AM4</f>
        <v>5850376</v>
      </c>
      <c r="AP4" s="18">
        <f>AO4*11%</f>
        <v>643541.36</v>
      </c>
      <c r="AQ4" s="18">
        <f>AO4+AP4</f>
        <v>6493917.3600000003</v>
      </c>
      <c r="AR4" s="20">
        <v>2995.38</v>
      </c>
      <c r="AS4" s="50">
        <f>ROUND(AO4/AR4,2)</f>
        <v>1953.13</v>
      </c>
      <c r="AT4" s="50">
        <f>ROUND(AP4/AR4,2)</f>
        <v>214.84</v>
      </c>
      <c r="AU4" s="60">
        <f>SUM(AS4:AT4)</f>
        <v>2167.9700000000003</v>
      </c>
      <c r="AV4" s="29"/>
    </row>
    <row r="5" spans="1:49" ht="13.5" customHeight="1" x14ac:dyDescent="0.3">
      <c r="A5" s="17" t="str">
        <f>CONCATENATE('C&amp;P'!B26)</f>
        <v xml:space="preserve">1125229719  </v>
      </c>
      <c r="B5" s="17" t="str">
        <f>CONCATENATE('C&amp;P'!C26," ",'C&amp;P'!D26," ",'C&amp;P'!E26)</f>
        <v xml:space="preserve">YOSSYE HERNEY  </v>
      </c>
      <c r="C5" s="19">
        <v>3688.46</v>
      </c>
      <c r="D5" s="19">
        <v>6.5</v>
      </c>
      <c r="E5" s="19">
        <v>3205.87</v>
      </c>
      <c r="F5" s="20">
        <v>176</v>
      </c>
      <c r="G5" s="21">
        <f>H5/E5</f>
        <v>1091.9999875228877</v>
      </c>
      <c r="H5" s="21">
        <f>'C&amp;P'!H26</f>
        <v>3500810</v>
      </c>
      <c r="I5" s="22">
        <v>168</v>
      </c>
      <c r="J5" s="21">
        <f>K5/E5</f>
        <v>93.599865247187196</v>
      </c>
      <c r="K5" s="18">
        <f>'C&amp;P'!M26</f>
        <v>300069</v>
      </c>
      <c r="L5" s="22">
        <v>8</v>
      </c>
      <c r="M5" s="21">
        <f>N5/E5</f>
        <v>0</v>
      </c>
      <c r="N5" s="18">
        <v>0</v>
      </c>
      <c r="O5" s="22">
        <v>0</v>
      </c>
      <c r="P5" s="23">
        <f>Q5/E5</f>
        <v>174.4053876170899</v>
      </c>
      <c r="Q5" s="18">
        <f>'C&amp;P'!Q26</f>
        <v>559121</v>
      </c>
      <c r="R5" s="22">
        <v>0</v>
      </c>
      <c r="S5" s="21">
        <f>T5/E5</f>
        <v>0</v>
      </c>
      <c r="T5" s="18">
        <v>0</v>
      </c>
      <c r="U5" s="22">
        <v>0</v>
      </c>
      <c r="V5" s="24">
        <f t="shared" ref="V5" si="0">W5/$E5</f>
        <v>1360.0052403871648</v>
      </c>
      <c r="W5" s="25">
        <f>SUM($H5,$K5,$N5,$Q5,$T5)</f>
        <v>4360000</v>
      </c>
      <c r="X5" s="26"/>
      <c r="Y5" s="18">
        <f>'C&amp;P'!Z26</f>
        <v>523200</v>
      </c>
      <c r="Z5" s="18">
        <v>0</v>
      </c>
      <c r="AA5" s="18">
        <f>'C&amp;P'!AA26</f>
        <v>22800</v>
      </c>
      <c r="AB5" s="18">
        <f>'C&amp;P'!AB26</f>
        <v>174400</v>
      </c>
      <c r="AC5" s="18">
        <v>0</v>
      </c>
      <c r="AD5" s="18">
        <v>0</v>
      </c>
      <c r="AE5" s="27">
        <f t="shared" ref="AE5" si="1">SUM(Y5:AD5)</f>
        <v>720400</v>
      </c>
      <c r="AF5" s="26"/>
      <c r="AG5" s="18">
        <f>'C&amp;P'!AC26</f>
        <v>363188</v>
      </c>
      <c r="AH5" s="18">
        <f>'C&amp;P'!AD26</f>
        <v>363188</v>
      </c>
      <c r="AI5" s="18">
        <f>'C&amp;P'!AE26</f>
        <v>43600</v>
      </c>
      <c r="AJ5" s="28">
        <f>SUM(AG5:AI5)</f>
        <v>769976</v>
      </c>
      <c r="AK5" s="26"/>
      <c r="AL5" s="18">
        <v>0</v>
      </c>
      <c r="AM5" s="28">
        <f>SUM(AL5)</f>
        <v>0</v>
      </c>
      <c r="AN5" s="26"/>
      <c r="AO5" s="18">
        <f>W5+AE5+AJ5+AM5</f>
        <v>5850376</v>
      </c>
      <c r="AP5" s="18">
        <f>AO5*11%</f>
        <v>643541.36</v>
      </c>
      <c r="AQ5" s="18">
        <f>AO5+AP5</f>
        <v>6493917.3600000003</v>
      </c>
      <c r="AR5" s="20">
        <v>2995.38</v>
      </c>
      <c r="AS5" s="50">
        <f>ROUND(AO5/AR5,2)</f>
        <v>1953.13</v>
      </c>
      <c r="AT5" s="50">
        <f>ROUND(AP5/AR5,2)</f>
        <v>214.84</v>
      </c>
      <c r="AU5" s="60">
        <f>SUM(AS5:AT5)</f>
        <v>2167.9700000000003</v>
      </c>
      <c r="AV5" s="29"/>
    </row>
    <row r="6" spans="1:49" ht="12.75" customHeight="1" thickBot="1" x14ac:dyDescent="0.35">
      <c r="A6" s="30"/>
      <c r="B6" s="31"/>
      <c r="C6" s="32" t="s">
        <v>70</v>
      </c>
      <c r="D6" s="32"/>
      <c r="E6" s="32"/>
      <c r="F6" s="33"/>
      <c r="G6" s="34">
        <f t="shared" ref="G6:V6" si="2">SUM(G4:G5)</f>
        <v>2183.9999750457755</v>
      </c>
      <c r="H6" s="35">
        <f t="shared" si="2"/>
        <v>7001620</v>
      </c>
      <c r="I6" s="36">
        <f t="shared" si="2"/>
        <v>336</v>
      </c>
      <c r="J6" s="37">
        <f t="shared" si="2"/>
        <v>187.19973049437439</v>
      </c>
      <c r="K6" s="35">
        <f t="shared" si="2"/>
        <v>600138</v>
      </c>
      <c r="L6" s="38">
        <f t="shared" si="2"/>
        <v>16</v>
      </c>
      <c r="M6" s="37">
        <f t="shared" si="2"/>
        <v>0</v>
      </c>
      <c r="N6" s="35">
        <f t="shared" si="2"/>
        <v>0</v>
      </c>
      <c r="O6" s="38">
        <f t="shared" si="2"/>
        <v>48</v>
      </c>
      <c r="P6" s="37">
        <f t="shared" si="2"/>
        <v>348.8107752341798</v>
      </c>
      <c r="Q6" s="35">
        <f t="shared" si="2"/>
        <v>1118242</v>
      </c>
      <c r="R6" s="38">
        <f t="shared" si="2"/>
        <v>0</v>
      </c>
      <c r="S6" s="37">
        <f t="shared" si="2"/>
        <v>0</v>
      </c>
      <c r="T6" s="35">
        <f t="shared" si="2"/>
        <v>0</v>
      </c>
      <c r="U6" s="38">
        <f t="shared" si="2"/>
        <v>0</v>
      </c>
      <c r="V6" s="37">
        <f t="shared" si="2"/>
        <v>2720.0104807743296</v>
      </c>
      <c r="W6" s="39">
        <f>SUM(W4:W5)</f>
        <v>8720000</v>
      </c>
      <c r="X6" s="26"/>
      <c r="Y6" s="40">
        <f t="shared" ref="Y6:AE6" si="3">SUM(Y4:Y5)</f>
        <v>1046400</v>
      </c>
      <c r="Z6" s="40">
        <f t="shared" si="3"/>
        <v>0</v>
      </c>
      <c r="AA6" s="40">
        <f t="shared" si="3"/>
        <v>45600</v>
      </c>
      <c r="AB6" s="40">
        <f t="shared" si="3"/>
        <v>348800</v>
      </c>
      <c r="AC6" s="40">
        <f t="shared" si="3"/>
        <v>0</v>
      </c>
      <c r="AD6" s="40">
        <f t="shared" si="3"/>
        <v>0</v>
      </c>
      <c r="AE6" s="40">
        <f t="shared" si="3"/>
        <v>1440800</v>
      </c>
      <c r="AF6" s="26"/>
      <c r="AG6" s="40">
        <f>SUM(AG4:AG5)</f>
        <v>726376</v>
      </c>
      <c r="AH6" s="40">
        <f>SUM(AH4:AH5)</f>
        <v>726376</v>
      </c>
      <c r="AI6" s="40">
        <f>SUM(AI4:AI5)</f>
        <v>87200</v>
      </c>
      <c r="AJ6" s="40">
        <f>SUM(AJ4:AJ5)</f>
        <v>1539952</v>
      </c>
      <c r="AK6" s="26"/>
      <c r="AL6" s="40">
        <f>SUM(AL4:AL5)</f>
        <v>0</v>
      </c>
      <c r="AM6" s="40">
        <f>SUM(AM4:AM5)</f>
        <v>0</v>
      </c>
      <c r="AN6" s="26"/>
      <c r="AO6" s="40">
        <f>SUM(AO4:AO5)</f>
        <v>11700752</v>
      </c>
      <c r="AP6" s="40">
        <f>SUM(AP4:AP5)</f>
        <v>1287082.72</v>
      </c>
      <c r="AQ6" s="40">
        <f>SUM(AQ4:AQ5)</f>
        <v>12987834.720000001</v>
      </c>
      <c r="AR6" s="40"/>
      <c r="AS6" s="49">
        <f>SUM(AS4:AS5)</f>
        <v>3906.26</v>
      </c>
      <c r="AT6" s="49">
        <f>SUM(AT4:AT5)</f>
        <v>429.68</v>
      </c>
      <c r="AU6" s="49">
        <f>SUM(AU4:AU5)</f>
        <v>4335.9400000000005</v>
      </c>
      <c r="AV6" s="41"/>
    </row>
    <row r="7" spans="1:49" ht="12.75" customHeight="1" x14ac:dyDescent="0.3">
      <c r="A7" s="67" t="s">
        <v>81</v>
      </c>
      <c r="B7" s="68"/>
      <c r="C7" s="68"/>
      <c r="D7" s="42"/>
      <c r="E7" s="42"/>
      <c r="F7" s="42"/>
      <c r="G7" s="42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26"/>
      <c r="X7" s="44"/>
      <c r="AE7" s="45"/>
      <c r="AJ7" s="6"/>
      <c r="AK7" s="46"/>
      <c r="AL7" s="46"/>
      <c r="AM7" s="46"/>
      <c r="AN7" s="46"/>
      <c r="AO7" s="46"/>
      <c r="AP7" s="46"/>
      <c r="AQ7" s="46"/>
      <c r="AR7" s="6"/>
      <c r="AS7" s="6"/>
      <c r="AT7" s="46"/>
      <c r="AV7" s="47"/>
      <c r="AW7" s="51"/>
    </row>
    <row r="8" spans="1:49" ht="12.75" customHeight="1" x14ac:dyDescent="0.3">
      <c r="AE8" s="6"/>
      <c r="AJ8" s="6"/>
      <c r="AP8" s="61"/>
      <c r="AS8" s="51"/>
      <c r="AT8" s="51"/>
      <c r="AU8" s="6"/>
    </row>
    <row r="9" spans="1:49" ht="12.75" customHeight="1" x14ac:dyDescent="0.3">
      <c r="AE9" s="6"/>
      <c r="AJ9" s="6"/>
      <c r="AP9" s="61"/>
      <c r="AT9" s="52"/>
      <c r="AU9" s="6"/>
    </row>
    <row r="10" spans="1:49" ht="12.75" customHeight="1" x14ac:dyDescent="0.3">
      <c r="AE10" s="6"/>
      <c r="AJ10" s="6"/>
      <c r="AP10" s="61"/>
      <c r="AT10" s="52"/>
      <c r="AU10" s="6"/>
    </row>
    <row r="11" spans="1:49" ht="12.75" customHeight="1" x14ac:dyDescent="0.3">
      <c r="AE11" s="6"/>
      <c r="AJ11" s="6"/>
      <c r="AU11" s="6"/>
    </row>
    <row r="12" spans="1:49" ht="12.75" customHeight="1" x14ac:dyDescent="0.3">
      <c r="AE12" s="6"/>
      <c r="AJ12" s="6"/>
      <c r="AU12" s="6"/>
    </row>
    <row r="13" spans="1:49" ht="12.75" customHeight="1" x14ac:dyDescent="0.3">
      <c r="AE13" s="6"/>
      <c r="AJ13" s="6"/>
      <c r="AU13" s="6"/>
    </row>
    <row r="14" spans="1:49" ht="12.75" customHeight="1" x14ac:dyDescent="0.3">
      <c r="AE14" s="6"/>
      <c r="AJ14" s="6"/>
      <c r="AR14" s="53"/>
      <c r="AS14" s="53"/>
      <c r="AU14" s="6"/>
    </row>
    <row r="15" spans="1:49" ht="12.75" customHeight="1" x14ac:dyDescent="0.3">
      <c r="AE15" s="6"/>
      <c r="AJ15" s="6"/>
      <c r="AR15" s="53"/>
      <c r="AS15" s="53"/>
      <c r="AU15" s="6"/>
    </row>
    <row r="16" spans="1:49" ht="12.75" customHeight="1" x14ac:dyDescent="0.3">
      <c r="AE16" s="6"/>
      <c r="AJ16" s="6"/>
      <c r="AU16" s="6"/>
    </row>
    <row r="17" spans="31:47" ht="12.75" customHeight="1" x14ac:dyDescent="0.3">
      <c r="AE17" s="6"/>
      <c r="AJ17" s="6"/>
      <c r="AU17" s="6"/>
    </row>
    <row r="18" spans="31:47" ht="12.75" customHeight="1" x14ac:dyDescent="0.3">
      <c r="AE18" s="6"/>
      <c r="AJ18" s="6"/>
      <c r="AU18" s="6"/>
    </row>
    <row r="19" spans="31:47" ht="12.75" customHeight="1" x14ac:dyDescent="0.3">
      <c r="AE19" s="6"/>
      <c r="AJ19" s="6"/>
      <c r="AU19" s="6"/>
    </row>
    <row r="20" spans="31:47" ht="12.75" customHeight="1" x14ac:dyDescent="0.3">
      <c r="AE20" s="6"/>
      <c r="AJ20" s="6"/>
      <c r="AU20" s="6"/>
    </row>
    <row r="21" spans="31:47" ht="12.75" customHeight="1" x14ac:dyDescent="0.3">
      <c r="AE21" s="6"/>
      <c r="AJ21" s="6"/>
      <c r="AU21" s="6"/>
    </row>
    <row r="22" spans="31:47" ht="12.75" customHeight="1" x14ac:dyDescent="0.3">
      <c r="AE22" s="6"/>
      <c r="AJ22" s="6"/>
      <c r="AU22" s="6"/>
    </row>
    <row r="23" spans="31:47" ht="12.75" customHeight="1" x14ac:dyDescent="0.3">
      <c r="AE23" s="6"/>
      <c r="AJ23" s="6"/>
      <c r="AU23" s="6"/>
    </row>
    <row r="24" spans="31:47" ht="12.75" customHeight="1" x14ac:dyDescent="0.3">
      <c r="AE24" s="6"/>
      <c r="AJ24" s="6"/>
      <c r="AU24" s="6"/>
    </row>
    <row r="25" spans="31:47" ht="12.75" customHeight="1" x14ac:dyDescent="0.3">
      <c r="AE25" s="6"/>
      <c r="AJ25" s="6"/>
      <c r="AU25" s="6"/>
    </row>
    <row r="26" spans="31:47" ht="12.75" customHeight="1" x14ac:dyDescent="0.3">
      <c r="AE26" s="6"/>
      <c r="AJ26" s="6"/>
      <c r="AU26" s="6"/>
    </row>
    <row r="27" spans="31:47" ht="12.75" customHeight="1" x14ac:dyDescent="0.3">
      <c r="AE27" s="6"/>
      <c r="AJ27" s="6"/>
      <c r="AU27" s="6"/>
    </row>
    <row r="28" spans="31:47" ht="12.75" customHeight="1" x14ac:dyDescent="0.3">
      <c r="AE28" s="6"/>
      <c r="AJ28" s="6"/>
      <c r="AU28" s="6"/>
    </row>
    <row r="29" spans="31:47" ht="12.75" customHeight="1" x14ac:dyDescent="0.3">
      <c r="AE29" s="6"/>
      <c r="AJ29" s="6"/>
      <c r="AU29" s="6"/>
    </row>
    <row r="30" spans="31:47" ht="12.75" customHeight="1" x14ac:dyDescent="0.3">
      <c r="AE30" s="6"/>
      <c r="AJ30" s="6"/>
      <c r="AU30" s="6"/>
    </row>
    <row r="31" spans="31:47" ht="12.75" customHeight="1" x14ac:dyDescent="0.3">
      <c r="AE31" s="6"/>
      <c r="AJ31" s="6"/>
      <c r="AU31" s="6"/>
    </row>
    <row r="32" spans="31:47" ht="12.75" customHeight="1" x14ac:dyDescent="0.3">
      <c r="AE32" s="6"/>
      <c r="AJ32" s="6"/>
      <c r="AU32" s="6"/>
    </row>
    <row r="33" spans="31:47" ht="12.75" customHeight="1" x14ac:dyDescent="0.3">
      <c r="AE33" s="6"/>
      <c r="AJ33" s="6"/>
      <c r="AU33" s="6"/>
    </row>
    <row r="34" spans="31:47" ht="12.75" customHeight="1" x14ac:dyDescent="0.3">
      <c r="AE34" s="6"/>
      <c r="AJ34" s="6"/>
      <c r="AU34" s="6"/>
    </row>
    <row r="35" spans="31:47" ht="12.75" customHeight="1" x14ac:dyDescent="0.3">
      <c r="AE35" s="6"/>
      <c r="AJ35" s="6"/>
      <c r="AU35" s="6"/>
    </row>
    <row r="36" spans="31:47" ht="12.75" customHeight="1" x14ac:dyDescent="0.3">
      <c r="AE36" s="6"/>
      <c r="AJ36" s="6"/>
      <c r="AU36" s="6"/>
    </row>
    <row r="37" spans="31:47" ht="12.75" customHeight="1" x14ac:dyDescent="0.3">
      <c r="AE37" s="6"/>
      <c r="AJ37" s="6"/>
      <c r="AU37" s="6"/>
    </row>
    <row r="38" spans="31:47" ht="12.75" customHeight="1" x14ac:dyDescent="0.3">
      <c r="AE38" s="6"/>
      <c r="AJ38" s="6"/>
      <c r="AU38" s="6"/>
    </row>
    <row r="39" spans="31:47" ht="12.75" customHeight="1" x14ac:dyDescent="0.3">
      <c r="AE39" s="6"/>
      <c r="AJ39" s="6"/>
      <c r="AU39" s="6"/>
    </row>
    <row r="40" spans="31:47" ht="12.75" customHeight="1" x14ac:dyDescent="0.3">
      <c r="AE40" s="6"/>
      <c r="AJ40" s="6"/>
      <c r="AU40" s="6"/>
    </row>
    <row r="41" spans="31:47" ht="12.75" customHeight="1" x14ac:dyDescent="0.3">
      <c r="AE41" s="6"/>
      <c r="AJ41" s="6"/>
      <c r="AU41" s="6"/>
    </row>
    <row r="42" spans="31:47" ht="12.75" customHeight="1" x14ac:dyDescent="0.3">
      <c r="AE42" s="6"/>
      <c r="AJ42" s="6"/>
      <c r="AU42" s="6"/>
    </row>
    <row r="43" spans="31:47" ht="12.75" customHeight="1" x14ac:dyDescent="0.3">
      <c r="AE43" s="6"/>
      <c r="AJ43" s="6"/>
      <c r="AU43" s="6"/>
    </row>
    <row r="44" spans="31:47" ht="12.75" customHeight="1" x14ac:dyDescent="0.3">
      <c r="AE44" s="6"/>
      <c r="AJ44" s="6"/>
      <c r="AU44" s="6"/>
    </row>
    <row r="45" spans="31:47" ht="12.75" customHeight="1" x14ac:dyDescent="0.3">
      <c r="AE45" s="6"/>
      <c r="AJ45" s="6"/>
      <c r="AU45" s="6"/>
    </row>
    <row r="46" spans="31:47" ht="12.75" customHeight="1" x14ac:dyDescent="0.3">
      <c r="AE46" s="6"/>
      <c r="AJ46" s="6"/>
      <c r="AU46" s="6"/>
    </row>
    <row r="47" spans="31:47" ht="12.75" customHeight="1" x14ac:dyDescent="0.3">
      <c r="AE47" s="6"/>
      <c r="AJ47" s="6"/>
      <c r="AU47" s="6"/>
    </row>
    <row r="48" spans="31:47" ht="12.75" customHeight="1" x14ac:dyDescent="0.3">
      <c r="AE48" s="6"/>
      <c r="AJ48" s="6"/>
      <c r="AU48" s="6"/>
    </row>
    <row r="49" spans="31:47" ht="12.75" customHeight="1" x14ac:dyDescent="0.3">
      <c r="AE49" s="6"/>
      <c r="AJ49" s="6"/>
      <c r="AU49" s="6"/>
    </row>
    <row r="50" spans="31:47" ht="12.75" customHeight="1" x14ac:dyDescent="0.3">
      <c r="AE50" s="6"/>
      <c r="AJ50" s="6"/>
      <c r="AU50" s="6"/>
    </row>
    <row r="51" spans="31:47" ht="12.75" customHeight="1" x14ac:dyDescent="0.3">
      <c r="AE51" s="6"/>
      <c r="AJ51" s="6"/>
      <c r="AU51" s="6"/>
    </row>
    <row r="52" spans="31:47" ht="12.75" customHeight="1" x14ac:dyDescent="0.3">
      <c r="AE52" s="6"/>
      <c r="AJ52" s="6"/>
      <c r="AU52" s="6"/>
    </row>
    <row r="53" spans="31:47" ht="12.75" customHeight="1" x14ac:dyDescent="0.3">
      <c r="AE53" s="6"/>
      <c r="AJ53" s="6"/>
      <c r="AU53" s="6"/>
    </row>
    <row r="54" spans="31:47" ht="12.75" customHeight="1" x14ac:dyDescent="0.3">
      <c r="AE54" s="6"/>
      <c r="AJ54" s="6"/>
      <c r="AU54" s="6"/>
    </row>
    <row r="55" spans="31:47" ht="12.75" customHeight="1" x14ac:dyDescent="0.3">
      <c r="AE55" s="6"/>
      <c r="AJ55" s="6"/>
      <c r="AU55" s="6"/>
    </row>
    <row r="56" spans="31:47" ht="12.75" customHeight="1" x14ac:dyDescent="0.3">
      <c r="AE56" s="6"/>
      <c r="AJ56" s="6"/>
      <c r="AU56" s="6"/>
    </row>
    <row r="57" spans="31:47" ht="12.75" customHeight="1" x14ac:dyDescent="0.3">
      <c r="AE57" s="6"/>
      <c r="AJ57" s="6"/>
      <c r="AU57" s="6"/>
    </row>
    <row r="58" spans="31:47" ht="12.75" customHeight="1" x14ac:dyDescent="0.3">
      <c r="AE58" s="6"/>
      <c r="AJ58" s="6"/>
      <c r="AU58" s="6"/>
    </row>
    <row r="59" spans="31:47" ht="12.75" customHeight="1" x14ac:dyDescent="0.3">
      <c r="AE59" s="6"/>
      <c r="AJ59" s="6"/>
      <c r="AU59" s="6"/>
    </row>
    <row r="60" spans="31:47" ht="12.75" customHeight="1" x14ac:dyDescent="0.3">
      <c r="AE60" s="6"/>
      <c r="AJ60" s="6"/>
      <c r="AU60" s="6"/>
    </row>
    <row r="61" spans="31:47" ht="12.75" customHeight="1" x14ac:dyDescent="0.3">
      <c r="AE61" s="6"/>
      <c r="AJ61" s="6"/>
      <c r="AU61" s="6"/>
    </row>
    <row r="62" spans="31:47" ht="12.75" customHeight="1" x14ac:dyDescent="0.3">
      <c r="AE62" s="6"/>
      <c r="AJ62" s="6"/>
      <c r="AU62" s="6"/>
    </row>
    <row r="63" spans="31:47" ht="12.75" customHeight="1" x14ac:dyDescent="0.3">
      <c r="AE63" s="6"/>
      <c r="AJ63" s="6"/>
      <c r="AU63" s="6"/>
    </row>
    <row r="64" spans="31:47" ht="12.75" customHeight="1" x14ac:dyDescent="0.3">
      <c r="AE64" s="6"/>
      <c r="AJ64" s="6"/>
      <c r="AU64" s="6"/>
    </row>
    <row r="65" spans="31:47" ht="12.75" customHeight="1" x14ac:dyDescent="0.3">
      <c r="AE65" s="6"/>
      <c r="AJ65" s="6"/>
      <c r="AU65" s="6"/>
    </row>
    <row r="66" spans="31:47" ht="12.75" customHeight="1" x14ac:dyDescent="0.3">
      <c r="AE66" s="6"/>
      <c r="AJ66" s="6"/>
      <c r="AU66" s="6"/>
    </row>
    <row r="67" spans="31:47" ht="12.75" customHeight="1" x14ac:dyDescent="0.3">
      <c r="AE67" s="6"/>
      <c r="AJ67" s="6"/>
      <c r="AU67" s="6"/>
    </row>
    <row r="68" spans="31:47" ht="12.75" customHeight="1" x14ac:dyDescent="0.3">
      <c r="AE68" s="6"/>
      <c r="AJ68" s="6"/>
      <c r="AU68" s="6"/>
    </row>
    <row r="69" spans="31:47" ht="12.75" customHeight="1" x14ac:dyDescent="0.3">
      <c r="AE69" s="6"/>
      <c r="AJ69" s="6"/>
      <c r="AU69" s="6"/>
    </row>
    <row r="70" spans="31:47" ht="12.75" customHeight="1" x14ac:dyDescent="0.3">
      <c r="AE70" s="6"/>
      <c r="AJ70" s="6"/>
      <c r="AU70" s="6"/>
    </row>
    <row r="71" spans="31:47" ht="12.75" customHeight="1" x14ac:dyDescent="0.3">
      <c r="AE71" s="6"/>
      <c r="AJ71" s="6"/>
      <c r="AU71" s="6"/>
    </row>
    <row r="72" spans="31:47" ht="12.75" customHeight="1" x14ac:dyDescent="0.3">
      <c r="AE72" s="6"/>
      <c r="AJ72" s="6"/>
      <c r="AU72" s="6"/>
    </row>
    <row r="73" spans="31:47" ht="12.75" customHeight="1" x14ac:dyDescent="0.3">
      <c r="AE73" s="6"/>
      <c r="AJ73" s="6"/>
      <c r="AU73" s="6"/>
    </row>
    <row r="74" spans="31:47" ht="12.75" customHeight="1" x14ac:dyDescent="0.3">
      <c r="AE74" s="6"/>
      <c r="AJ74" s="6"/>
      <c r="AU74" s="6"/>
    </row>
    <row r="75" spans="31:47" ht="12.75" customHeight="1" x14ac:dyDescent="0.3">
      <c r="AE75" s="6"/>
      <c r="AJ75" s="6"/>
      <c r="AU75" s="6"/>
    </row>
    <row r="76" spans="31:47" ht="12.75" customHeight="1" x14ac:dyDescent="0.3">
      <c r="AE76" s="6"/>
      <c r="AJ76" s="6"/>
      <c r="AU76" s="6"/>
    </row>
    <row r="77" spans="31:47" ht="12.75" customHeight="1" x14ac:dyDescent="0.3">
      <c r="AE77" s="6"/>
      <c r="AJ77" s="6"/>
      <c r="AU77" s="6"/>
    </row>
    <row r="78" spans="31:47" ht="12.75" customHeight="1" x14ac:dyDescent="0.3">
      <c r="AE78" s="6"/>
      <c r="AJ78" s="6"/>
      <c r="AU78" s="6"/>
    </row>
    <row r="79" spans="31:47" ht="12.75" customHeight="1" x14ac:dyDescent="0.3">
      <c r="AE79" s="6"/>
      <c r="AJ79" s="6"/>
      <c r="AU79" s="6"/>
    </row>
    <row r="80" spans="31:47" ht="12.75" customHeight="1" x14ac:dyDescent="0.3">
      <c r="AE80" s="6"/>
      <c r="AJ80" s="6"/>
      <c r="AU80" s="6"/>
    </row>
    <row r="81" spans="31:47" ht="12.75" customHeight="1" x14ac:dyDescent="0.3">
      <c r="AE81" s="6"/>
      <c r="AJ81" s="6"/>
      <c r="AU81" s="6"/>
    </row>
    <row r="82" spans="31:47" ht="12.75" customHeight="1" x14ac:dyDescent="0.3">
      <c r="AE82" s="6"/>
      <c r="AJ82" s="6"/>
      <c r="AU82" s="6"/>
    </row>
    <row r="83" spans="31:47" ht="12.75" customHeight="1" x14ac:dyDescent="0.3">
      <c r="AE83" s="6"/>
      <c r="AJ83" s="6"/>
      <c r="AU83" s="6"/>
    </row>
    <row r="84" spans="31:47" ht="12.75" customHeight="1" x14ac:dyDescent="0.3">
      <c r="AE84" s="6"/>
      <c r="AJ84" s="6"/>
      <c r="AU84" s="6"/>
    </row>
    <row r="85" spans="31:47" ht="12.75" customHeight="1" x14ac:dyDescent="0.3">
      <c r="AE85" s="6"/>
      <c r="AJ85" s="6"/>
      <c r="AU85" s="6"/>
    </row>
    <row r="86" spans="31:47" ht="12.75" customHeight="1" x14ac:dyDescent="0.3">
      <c r="AE86" s="6"/>
      <c r="AJ86" s="6"/>
      <c r="AU86" s="6"/>
    </row>
    <row r="87" spans="31:47" ht="12.75" customHeight="1" x14ac:dyDescent="0.3">
      <c r="AE87" s="6"/>
      <c r="AJ87" s="6"/>
      <c r="AU87" s="6"/>
    </row>
    <row r="88" spans="31:47" ht="12.75" customHeight="1" x14ac:dyDescent="0.3">
      <c r="AE88" s="6"/>
      <c r="AJ88" s="6"/>
      <c r="AU88" s="6"/>
    </row>
    <row r="89" spans="31:47" ht="12.75" customHeight="1" x14ac:dyDescent="0.3">
      <c r="AE89" s="6"/>
      <c r="AJ89" s="6"/>
      <c r="AU89" s="6"/>
    </row>
    <row r="90" spans="31:47" ht="12.75" customHeight="1" x14ac:dyDescent="0.3">
      <c r="AE90" s="6"/>
      <c r="AJ90" s="6"/>
      <c r="AU90" s="6"/>
    </row>
    <row r="91" spans="31:47" ht="12.75" customHeight="1" x14ac:dyDescent="0.3">
      <c r="AE91" s="6"/>
      <c r="AJ91" s="6"/>
      <c r="AU91" s="6"/>
    </row>
    <row r="92" spans="31:47" ht="12.75" customHeight="1" x14ac:dyDescent="0.3">
      <c r="AE92" s="6"/>
      <c r="AJ92" s="6"/>
      <c r="AU92" s="6"/>
    </row>
    <row r="93" spans="31:47" ht="12.75" customHeight="1" x14ac:dyDescent="0.3">
      <c r="AE93" s="6"/>
      <c r="AJ93" s="6"/>
      <c r="AU93" s="6"/>
    </row>
    <row r="94" spans="31:47" ht="12.75" customHeight="1" x14ac:dyDescent="0.3">
      <c r="AE94" s="6"/>
      <c r="AJ94" s="6"/>
      <c r="AU94" s="6"/>
    </row>
    <row r="95" spans="31:47" ht="12.75" customHeight="1" x14ac:dyDescent="0.3">
      <c r="AE95" s="6"/>
      <c r="AJ95" s="6"/>
      <c r="AU95" s="6"/>
    </row>
    <row r="96" spans="31:47" ht="12.75" customHeight="1" x14ac:dyDescent="0.3">
      <c r="AE96" s="6"/>
      <c r="AJ96" s="6"/>
      <c r="AU96" s="6"/>
    </row>
    <row r="97" spans="31:47" ht="12.75" customHeight="1" x14ac:dyDescent="0.3">
      <c r="AE97" s="6"/>
      <c r="AJ97" s="6"/>
      <c r="AU97" s="6"/>
    </row>
    <row r="98" spans="31:47" ht="12.75" customHeight="1" x14ac:dyDescent="0.3">
      <c r="AE98" s="6"/>
      <c r="AJ98" s="6"/>
      <c r="AU98" s="6"/>
    </row>
    <row r="99" spans="31:47" ht="12.75" customHeight="1" x14ac:dyDescent="0.3">
      <c r="AE99" s="6"/>
      <c r="AJ99" s="6"/>
      <c r="AU99" s="6"/>
    </row>
    <row r="100" spans="31:47" ht="12.75" customHeight="1" x14ac:dyDescent="0.3">
      <c r="AE100" s="6"/>
      <c r="AJ100" s="6"/>
      <c r="AU100" s="6"/>
    </row>
    <row r="101" spans="31:47" ht="12.75" customHeight="1" x14ac:dyDescent="0.3">
      <c r="AE101" s="6"/>
      <c r="AJ101" s="6"/>
      <c r="AU101" s="6"/>
    </row>
    <row r="102" spans="31:47" ht="12.75" customHeight="1" x14ac:dyDescent="0.3">
      <c r="AE102" s="6"/>
      <c r="AJ102" s="6"/>
      <c r="AU102" s="6"/>
    </row>
    <row r="103" spans="31:47" ht="12.75" customHeight="1" x14ac:dyDescent="0.3">
      <c r="AE103" s="6"/>
      <c r="AJ103" s="6"/>
      <c r="AU103" s="6"/>
    </row>
    <row r="104" spans="31:47" ht="12.75" customHeight="1" x14ac:dyDescent="0.3">
      <c r="AE104" s="6"/>
      <c r="AJ104" s="6"/>
      <c r="AU104" s="6"/>
    </row>
    <row r="105" spans="31:47" ht="12.75" customHeight="1" x14ac:dyDescent="0.3">
      <c r="AE105" s="6"/>
      <c r="AJ105" s="6"/>
      <c r="AU105" s="6"/>
    </row>
    <row r="106" spans="31:47" ht="12.75" customHeight="1" x14ac:dyDescent="0.3">
      <c r="AE106" s="6"/>
      <c r="AJ106" s="6"/>
      <c r="AU106" s="6"/>
    </row>
    <row r="107" spans="31:47" ht="12.75" customHeight="1" x14ac:dyDescent="0.3">
      <c r="AE107" s="6"/>
      <c r="AJ107" s="6"/>
      <c r="AU107" s="6"/>
    </row>
    <row r="108" spans="31:47" ht="12.75" customHeight="1" x14ac:dyDescent="0.3">
      <c r="AE108" s="6"/>
      <c r="AJ108" s="6"/>
      <c r="AU108" s="6"/>
    </row>
    <row r="109" spans="31:47" ht="12.75" customHeight="1" x14ac:dyDescent="0.3">
      <c r="AE109" s="6"/>
      <c r="AJ109" s="6"/>
      <c r="AU109" s="6"/>
    </row>
    <row r="110" spans="31:47" ht="12.75" customHeight="1" x14ac:dyDescent="0.3">
      <c r="AE110" s="6"/>
      <c r="AJ110" s="6"/>
      <c r="AU110" s="6"/>
    </row>
    <row r="111" spans="31:47" ht="12.75" customHeight="1" x14ac:dyDescent="0.3">
      <c r="AE111" s="6"/>
      <c r="AJ111" s="6"/>
      <c r="AU111" s="6"/>
    </row>
    <row r="112" spans="31:47" ht="12.75" customHeight="1" x14ac:dyDescent="0.3">
      <c r="AE112" s="6"/>
      <c r="AJ112" s="6"/>
      <c r="AU112" s="6"/>
    </row>
    <row r="113" spans="31:47" ht="12.75" customHeight="1" x14ac:dyDescent="0.3">
      <c r="AE113" s="6"/>
      <c r="AJ113" s="6"/>
      <c r="AU113" s="6"/>
    </row>
    <row r="114" spans="31:47" ht="12.75" customHeight="1" x14ac:dyDescent="0.3">
      <c r="AE114" s="6"/>
      <c r="AJ114" s="6"/>
      <c r="AU114" s="6"/>
    </row>
    <row r="115" spans="31:47" ht="12.75" customHeight="1" x14ac:dyDescent="0.3">
      <c r="AE115" s="6"/>
      <c r="AJ115" s="6"/>
      <c r="AU115" s="6"/>
    </row>
    <row r="116" spans="31:47" ht="12.75" customHeight="1" x14ac:dyDescent="0.3">
      <c r="AE116" s="6"/>
      <c r="AJ116" s="6"/>
      <c r="AU116" s="6"/>
    </row>
    <row r="117" spans="31:47" ht="12.75" customHeight="1" x14ac:dyDescent="0.3">
      <c r="AE117" s="6"/>
      <c r="AJ117" s="6"/>
      <c r="AU117" s="6"/>
    </row>
    <row r="118" spans="31:47" ht="12.75" customHeight="1" x14ac:dyDescent="0.3">
      <c r="AE118" s="6"/>
      <c r="AJ118" s="6"/>
      <c r="AU118" s="6"/>
    </row>
    <row r="119" spans="31:47" ht="12.75" customHeight="1" x14ac:dyDescent="0.3">
      <c r="AE119" s="6"/>
      <c r="AJ119" s="6"/>
      <c r="AU119" s="6"/>
    </row>
    <row r="120" spans="31:47" ht="12.75" customHeight="1" x14ac:dyDescent="0.3">
      <c r="AE120" s="6"/>
      <c r="AJ120" s="6"/>
      <c r="AU120" s="6"/>
    </row>
    <row r="121" spans="31:47" ht="12.75" customHeight="1" x14ac:dyDescent="0.3">
      <c r="AE121" s="6"/>
      <c r="AJ121" s="6"/>
      <c r="AU121" s="6"/>
    </row>
    <row r="122" spans="31:47" ht="12.75" customHeight="1" x14ac:dyDescent="0.3">
      <c r="AE122" s="6"/>
      <c r="AJ122" s="6"/>
      <c r="AU122" s="6"/>
    </row>
    <row r="123" spans="31:47" ht="12.75" customHeight="1" x14ac:dyDescent="0.3">
      <c r="AE123" s="6"/>
      <c r="AJ123" s="6"/>
      <c r="AU123" s="6"/>
    </row>
    <row r="124" spans="31:47" ht="12.75" customHeight="1" x14ac:dyDescent="0.3">
      <c r="AE124" s="6"/>
      <c r="AJ124" s="6"/>
      <c r="AU124" s="6"/>
    </row>
    <row r="125" spans="31:47" ht="12.75" customHeight="1" x14ac:dyDescent="0.3">
      <c r="AE125" s="6"/>
      <c r="AJ125" s="6"/>
      <c r="AU125" s="6"/>
    </row>
    <row r="126" spans="31:47" ht="12.75" customHeight="1" x14ac:dyDescent="0.3">
      <c r="AE126" s="6"/>
      <c r="AJ126" s="6"/>
      <c r="AU126" s="6"/>
    </row>
    <row r="127" spans="31:47" ht="12.75" customHeight="1" x14ac:dyDescent="0.3">
      <c r="AE127" s="6"/>
      <c r="AJ127" s="6"/>
      <c r="AU127" s="6"/>
    </row>
    <row r="128" spans="31:47" ht="12.75" customHeight="1" x14ac:dyDescent="0.3">
      <c r="AE128" s="6"/>
      <c r="AJ128" s="6"/>
      <c r="AU128" s="6"/>
    </row>
    <row r="129" spans="31:47" ht="12.75" customHeight="1" x14ac:dyDescent="0.3">
      <c r="AE129" s="6"/>
      <c r="AJ129" s="6"/>
      <c r="AU129" s="6"/>
    </row>
    <row r="130" spans="31:47" ht="12.75" customHeight="1" x14ac:dyDescent="0.3">
      <c r="AE130" s="6"/>
      <c r="AJ130" s="6"/>
      <c r="AU130" s="6"/>
    </row>
    <row r="131" spans="31:47" ht="12.75" customHeight="1" x14ac:dyDescent="0.3">
      <c r="AE131" s="6"/>
      <c r="AJ131" s="6"/>
      <c r="AU131" s="6"/>
    </row>
    <row r="132" spans="31:47" ht="12.75" customHeight="1" x14ac:dyDescent="0.3">
      <c r="AE132" s="6"/>
      <c r="AJ132" s="6"/>
      <c r="AU132" s="6"/>
    </row>
    <row r="133" spans="31:47" ht="12.75" customHeight="1" x14ac:dyDescent="0.3">
      <c r="AE133" s="6"/>
      <c r="AJ133" s="6"/>
      <c r="AU133" s="6"/>
    </row>
    <row r="134" spans="31:47" ht="12.75" customHeight="1" x14ac:dyDescent="0.3">
      <c r="AE134" s="6"/>
      <c r="AJ134" s="6"/>
      <c r="AU134" s="6"/>
    </row>
    <row r="135" spans="31:47" ht="12.75" customHeight="1" x14ac:dyDescent="0.3">
      <c r="AE135" s="6"/>
      <c r="AJ135" s="6"/>
      <c r="AU135" s="6"/>
    </row>
    <row r="136" spans="31:47" ht="12.75" customHeight="1" x14ac:dyDescent="0.3">
      <c r="AE136" s="6"/>
      <c r="AJ136" s="6"/>
      <c r="AU136" s="6"/>
    </row>
    <row r="137" spans="31:47" ht="12.75" customHeight="1" x14ac:dyDescent="0.3">
      <c r="AE137" s="6"/>
      <c r="AJ137" s="6"/>
      <c r="AU137" s="6"/>
    </row>
    <row r="138" spans="31:47" ht="12.75" customHeight="1" x14ac:dyDescent="0.3">
      <c r="AE138" s="6"/>
      <c r="AJ138" s="6"/>
      <c r="AU138" s="6"/>
    </row>
    <row r="139" spans="31:47" ht="12.75" customHeight="1" x14ac:dyDescent="0.3">
      <c r="AE139" s="6"/>
      <c r="AJ139" s="6"/>
      <c r="AU139" s="6"/>
    </row>
    <row r="140" spans="31:47" ht="12.75" customHeight="1" x14ac:dyDescent="0.3">
      <c r="AE140" s="6"/>
      <c r="AJ140" s="6"/>
      <c r="AU140" s="6"/>
    </row>
    <row r="141" spans="31:47" ht="12.75" customHeight="1" x14ac:dyDescent="0.3">
      <c r="AE141" s="6"/>
      <c r="AJ141" s="6"/>
      <c r="AU141" s="6"/>
    </row>
    <row r="142" spans="31:47" ht="12.75" customHeight="1" x14ac:dyDescent="0.3">
      <c r="AE142" s="6"/>
      <c r="AJ142" s="6"/>
      <c r="AU142" s="6"/>
    </row>
    <row r="143" spans="31:47" ht="12.75" customHeight="1" x14ac:dyDescent="0.3">
      <c r="AE143" s="6"/>
      <c r="AJ143" s="6"/>
      <c r="AU143" s="6"/>
    </row>
    <row r="144" spans="31:47" ht="12.75" customHeight="1" x14ac:dyDescent="0.3">
      <c r="AE144" s="6"/>
      <c r="AJ144" s="6"/>
      <c r="AU144" s="6"/>
    </row>
    <row r="145" spans="31:47" ht="12.75" customHeight="1" x14ac:dyDescent="0.3">
      <c r="AE145" s="6"/>
      <c r="AJ145" s="6"/>
      <c r="AU145" s="6"/>
    </row>
    <row r="146" spans="31:47" ht="12.75" customHeight="1" x14ac:dyDescent="0.3">
      <c r="AE146" s="6"/>
      <c r="AJ146" s="6"/>
      <c r="AU146" s="6"/>
    </row>
    <row r="147" spans="31:47" ht="12.75" customHeight="1" x14ac:dyDescent="0.3">
      <c r="AE147" s="6"/>
      <c r="AJ147" s="6"/>
      <c r="AU147" s="6"/>
    </row>
    <row r="148" spans="31:47" ht="12.75" customHeight="1" x14ac:dyDescent="0.3">
      <c r="AE148" s="6"/>
      <c r="AJ148" s="6"/>
      <c r="AU148" s="6"/>
    </row>
    <row r="149" spans="31:47" ht="12.75" customHeight="1" x14ac:dyDescent="0.3">
      <c r="AE149" s="6"/>
      <c r="AJ149" s="6"/>
      <c r="AU149" s="6"/>
    </row>
    <row r="150" spans="31:47" ht="12.75" customHeight="1" x14ac:dyDescent="0.3">
      <c r="AE150" s="6"/>
      <c r="AJ150" s="6"/>
      <c r="AU150" s="6"/>
    </row>
    <row r="151" spans="31:47" ht="12.75" customHeight="1" x14ac:dyDescent="0.3">
      <c r="AE151" s="6"/>
      <c r="AJ151" s="6"/>
      <c r="AU151" s="6"/>
    </row>
    <row r="152" spans="31:47" ht="12.75" customHeight="1" x14ac:dyDescent="0.3">
      <c r="AE152" s="6"/>
      <c r="AJ152" s="6"/>
      <c r="AU152" s="6"/>
    </row>
    <row r="153" spans="31:47" ht="12.75" customHeight="1" x14ac:dyDescent="0.3">
      <c r="AE153" s="6"/>
      <c r="AJ153" s="6"/>
      <c r="AU153" s="6"/>
    </row>
    <row r="154" spans="31:47" ht="12.75" customHeight="1" x14ac:dyDescent="0.3">
      <c r="AE154" s="6"/>
      <c r="AJ154" s="6"/>
      <c r="AU154" s="6"/>
    </row>
    <row r="155" spans="31:47" ht="12.75" customHeight="1" x14ac:dyDescent="0.3">
      <c r="AE155" s="6"/>
      <c r="AJ155" s="6"/>
      <c r="AU155" s="6"/>
    </row>
    <row r="156" spans="31:47" ht="12.75" customHeight="1" x14ac:dyDescent="0.3">
      <c r="AE156" s="6"/>
      <c r="AJ156" s="6"/>
      <c r="AU156" s="6"/>
    </row>
    <row r="157" spans="31:47" ht="12.75" customHeight="1" x14ac:dyDescent="0.3">
      <c r="AE157" s="6"/>
      <c r="AJ157" s="6"/>
      <c r="AU157" s="6"/>
    </row>
    <row r="158" spans="31:47" ht="12.75" customHeight="1" x14ac:dyDescent="0.3">
      <c r="AE158" s="6"/>
      <c r="AJ158" s="6"/>
      <c r="AU158" s="6"/>
    </row>
    <row r="159" spans="31:47" ht="12.75" customHeight="1" x14ac:dyDescent="0.3">
      <c r="AE159" s="6"/>
      <c r="AJ159" s="6"/>
      <c r="AU159" s="6"/>
    </row>
    <row r="160" spans="31:47" ht="12.75" customHeight="1" x14ac:dyDescent="0.3">
      <c r="AE160" s="6"/>
      <c r="AJ160" s="6"/>
      <c r="AU160" s="6"/>
    </row>
    <row r="161" spans="31:47" ht="12.75" customHeight="1" x14ac:dyDescent="0.3">
      <c r="AE161" s="6"/>
      <c r="AJ161" s="6"/>
      <c r="AU161" s="6"/>
    </row>
    <row r="162" spans="31:47" ht="12.75" customHeight="1" x14ac:dyDescent="0.3">
      <c r="AE162" s="6"/>
      <c r="AJ162" s="6"/>
      <c r="AU162" s="6"/>
    </row>
    <row r="163" spans="31:47" ht="12.75" customHeight="1" x14ac:dyDescent="0.3">
      <c r="AE163" s="6"/>
      <c r="AJ163" s="6"/>
      <c r="AU163" s="6"/>
    </row>
    <row r="164" spans="31:47" ht="12.75" customHeight="1" x14ac:dyDescent="0.3">
      <c r="AE164" s="6"/>
      <c r="AJ164" s="6"/>
      <c r="AU164" s="6"/>
    </row>
    <row r="165" spans="31:47" ht="12.75" customHeight="1" x14ac:dyDescent="0.3">
      <c r="AE165" s="6"/>
      <c r="AJ165" s="6"/>
      <c r="AU165" s="6"/>
    </row>
    <row r="166" spans="31:47" ht="12.75" customHeight="1" x14ac:dyDescent="0.3">
      <c r="AE166" s="6"/>
      <c r="AJ166" s="6"/>
      <c r="AU166" s="6"/>
    </row>
    <row r="167" spans="31:47" ht="12.75" customHeight="1" x14ac:dyDescent="0.3">
      <c r="AE167" s="6"/>
      <c r="AJ167" s="6"/>
      <c r="AU167" s="6"/>
    </row>
    <row r="168" spans="31:47" ht="12.75" customHeight="1" x14ac:dyDescent="0.3">
      <c r="AE168" s="6"/>
      <c r="AJ168" s="6"/>
      <c r="AU168" s="6"/>
    </row>
    <row r="169" spans="31:47" ht="12.75" customHeight="1" x14ac:dyDescent="0.3">
      <c r="AE169" s="6"/>
      <c r="AJ169" s="6"/>
      <c r="AU169" s="6"/>
    </row>
    <row r="170" spans="31:47" ht="12.75" customHeight="1" x14ac:dyDescent="0.3">
      <c r="AE170" s="6"/>
      <c r="AJ170" s="6"/>
      <c r="AU170" s="6"/>
    </row>
    <row r="171" spans="31:47" ht="12.75" customHeight="1" x14ac:dyDescent="0.3">
      <c r="AE171" s="6"/>
      <c r="AJ171" s="6"/>
      <c r="AU171" s="6"/>
    </row>
    <row r="172" spans="31:47" ht="12.75" customHeight="1" x14ac:dyDescent="0.3">
      <c r="AE172" s="6"/>
      <c r="AJ172" s="6"/>
      <c r="AU172" s="6"/>
    </row>
    <row r="173" spans="31:47" ht="12.75" customHeight="1" x14ac:dyDescent="0.3">
      <c r="AE173" s="6"/>
      <c r="AJ173" s="6"/>
      <c r="AU173" s="6"/>
    </row>
    <row r="174" spans="31:47" ht="12.75" customHeight="1" x14ac:dyDescent="0.3">
      <c r="AE174" s="6"/>
      <c r="AJ174" s="6"/>
      <c r="AU174" s="6"/>
    </row>
    <row r="175" spans="31:47" ht="12.75" customHeight="1" x14ac:dyDescent="0.3">
      <c r="AE175" s="6"/>
      <c r="AJ175" s="6"/>
      <c r="AU175" s="6"/>
    </row>
    <row r="176" spans="31:47" ht="12.75" customHeight="1" x14ac:dyDescent="0.3">
      <c r="AE176" s="6"/>
      <c r="AJ176" s="6"/>
      <c r="AU176" s="6"/>
    </row>
    <row r="177" spans="31:47" ht="12.75" customHeight="1" x14ac:dyDescent="0.3">
      <c r="AE177" s="6"/>
      <c r="AJ177" s="6"/>
      <c r="AU177" s="6"/>
    </row>
    <row r="178" spans="31:47" ht="12.75" customHeight="1" x14ac:dyDescent="0.3">
      <c r="AE178" s="6"/>
      <c r="AJ178" s="6"/>
      <c r="AU178" s="6"/>
    </row>
    <row r="179" spans="31:47" ht="12.75" customHeight="1" x14ac:dyDescent="0.3">
      <c r="AE179" s="6"/>
      <c r="AJ179" s="6"/>
      <c r="AU179" s="6"/>
    </row>
    <row r="180" spans="31:47" ht="12.75" customHeight="1" x14ac:dyDescent="0.3">
      <c r="AE180" s="6"/>
      <c r="AJ180" s="6"/>
      <c r="AU180" s="6"/>
    </row>
    <row r="181" spans="31:47" ht="12.75" customHeight="1" x14ac:dyDescent="0.3">
      <c r="AE181" s="6"/>
      <c r="AJ181" s="6"/>
      <c r="AU181" s="6"/>
    </row>
    <row r="182" spans="31:47" ht="12.75" customHeight="1" x14ac:dyDescent="0.3">
      <c r="AE182" s="6"/>
      <c r="AJ182" s="6"/>
      <c r="AU182" s="6"/>
    </row>
    <row r="183" spans="31:47" ht="12.75" customHeight="1" x14ac:dyDescent="0.3">
      <c r="AE183" s="6"/>
      <c r="AJ183" s="6"/>
      <c r="AU183" s="6"/>
    </row>
    <row r="184" spans="31:47" ht="12.75" customHeight="1" x14ac:dyDescent="0.3">
      <c r="AE184" s="6"/>
      <c r="AJ184" s="6"/>
      <c r="AU184" s="6"/>
    </row>
    <row r="185" spans="31:47" ht="12.75" customHeight="1" x14ac:dyDescent="0.3">
      <c r="AE185" s="6"/>
      <c r="AJ185" s="6"/>
      <c r="AU185" s="6"/>
    </row>
    <row r="186" spans="31:47" ht="12.75" customHeight="1" x14ac:dyDescent="0.3">
      <c r="AE186" s="6"/>
      <c r="AJ186" s="6"/>
      <c r="AU186" s="6"/>
    </row>
    <row r="187" spans="31:47" ht="12.75" customHeight="1" x14ac:dyDescent="0.3">
      <c r="AE187" s="6"/>
      <c r="AJ187" s="6"/>
      <c r="AU187" s="6"/>
    </row>
    <row r="188" spans="31:47" ht="12.75" customHeight="1" x14ac:dyDescent="0.3">
      <c r="AE188" s="6"/>
      <c r="AJ188" s="6"/>
      <c r="AU188" s="6"/>
    </row>
    <row r="189" spans="31:47" ht="12.75" customHeight="1" x14ac:dyDescent="0.3">
      <c r="AE189" s="6"/>
      <c r="AJ189" s="6"/>
      <c r="AU189" s="6"/>
    </row>
    <row r="190" spans="31:47" ht="12.75" customHeight="1" x14ac:dyDescent="0.3">
      <c r="AE190" s="6"/>
      <c r="AJ190" s="6"/>
      <c r="AU190" s="6"/>
    </row>
    <row r="191" spans="31:47" ht="12.75" customHeight="1" x14ac:dyDescent="0.3">
      <c r="AE191" s="6"/>
      <c r="AJ191" s="6"/>
      <c r="AU191" s="6"/>
    </row>
    <row r="192" spans="31:47" ht="12.75" customHeight="1" x14ac:dyDescent="0.3">
      <c r="AE192" s="6"/>
      <c r="AJ192" s="6"/>
      <c r="AU192" s="6"/>
    </row>
    <row r="193" spans="31:47" ht="12.75" customHeight="1" x14ac:dyDescent="0.3">
      <c r="AE193" s="6"/>
      <c r="AJ193" s="6"/>
      <c r="AU193" s="6"/>
    </row>
    <row r="194" spans="31:47" ht="12.75" customHeight="1" x14ac:dyDescent="0.3">
      <c r="AE194" s="6"/>
      <c r="AJ194" s="6"/>
      <c r="AU194" s="6"/>
    </row>
    <row r="195" spans="31:47" ht="12.75" customHeight="1" x14ac:dyDescent="0.3">
      <c r="AE195" s="6"/>
      <c r="AJ195" s="6"/>
      <c r="AU195" s="6"/>
    </row>
    <row r="196" spans="31:47" ht="12.75" customHeight="1" x14ac:dyDescent="0.3">
      <c r="AE196" s="6"/>
      <c r="AJ196" s="6"/>
      <c r="AU196" s="6"/>
    </row>
    <row r="197" spans="31:47" ht="12.75" customHeight="1" x14ac:dyDescent="0.3">
      <c r="AE197" s="6"/>
      <c r="AJ197" s="6"/>
      <c r="AU197" s="6"/>
    </row>
    <row r="198" spans="31:47" ht="12.75" customHeight="1" x14ac:dyDescent="0.3">
      <c r="AE198" s="6"/>
      <c r="AJ198" s="6"/>
      <c r="AU198" s="6"/>
    </row>
    <row r="199" spans="31:47" ht="12.75" customHeight="1" x14ac:dyDescent="0.3">
      <c r="AE199" s="6"/>
      <c r="AJ199" s="6"/>
      <c r="AU199" s="6"/>
    </row>
    <row r="200" spans="31:47" ht="12.75" customHeight="1" x14ac:dyDescent="0.3">
      <c r="AE200" s="6"/>
      <c r="AJ200" s="6"/>
      <c r="AU200" s="6"/>
    </row>
    <row r="201" spans="31:47" ht="12.75" customHeight="1" x14ac:dyDescent="0.3">
      <c r="AE201" s="6"/>
      <c r="AJ201" s="6"/>
      <c r="AU201" s="6"/>
    </row>
    <row r="202" spans="31:47" ht="12.75" customHeight="1" x14ac:dyDescent="0.3">
      <c r="AE202" s="6"/>
      <c r="AJ202" s="6"/>
      <c r="AU202" s="6"/>
    </row>
    <row r="203" spans="31:47" ht="12.75" customHeight="1" x14ac:dyDescent="0.3">
      <c r="AE203" s="6"/>
      <c r="AJ203" s="6"/>
      <c r="AU203" s="6"/>
    </row>
    <row r="204" spans="31:47" ht="12.75" customHeight="1" x14ac:dyDescent="0.3">
      <c r="AE204" s="6"/>
      <c r="AJ204" s="6"/>
      <c r="AU204" s="6"/>
    </row>
    <row r="205" spans="31:47" ht="12.75" customHeight="1" x14ac:dyDescent="0.3">
      <c r="AE205" s="6"/>
      <c r="AJ205" s="6"/>
      <c r="AU205" s="6"/>
    </row>
    <row r="206" spans="31:47" ht="12.75" customHeight="1" x14ac:dyDescent="0.3">
      <c r="AE206" s="6"/>
      <c r="AJ206" s="6"/>
      <c r="AU206" s="6"/>
    </row>
    <row r="207" spans="31:47" ht="12.75" customHeight="1" x14ac:dyDescent="0.3">
      <c r="AE207" s="6"/>
      <c r="AJ207" s="6"/>
      <c r="AU207" s="6"/>
    </row>
    <row r="208" spans="31:47" ht="12.75" customHeight="1" x14ac:dyDescent="0.3">
      <c r="AE208" s="6"/>
      <c r="AJ208" s="6"/>
      <c r="AU208" s="6"/>
    </row>
    <row r="209" spans="31:47" ht="12.75" customHeight="1" x14ac:dyDescent="0.3">
      <c r="AE209" s="6"/>
      <c r="AJ209" s="6"/>
      <c r="AU209" s="6"/>
    </row>
    <row r="210" spans="31:47" ht="12.75" customHeight="1" x14ac:dyDescent="0.3">
      <c r="AE210" s="6"/>
      <c r="AJ210" s="6"/>
      <c r="AU210" s="6"/>
    </row>
    <row r="211" spans="31:47" ht="12.75" customHeight="1" x14ac:dyDescent="0.3">
      <c r="AE211" s="6"/>
      <c r="AJ211" s="6"/>
      <c r="AU211" s="6"/>
    </row>
    <row r="212" spans="31:47" ht="12.75" customHeight="1" x14ac:dyDescent="0.3">
      <c r="AE212" s="6"/>
      <c r="AJ212" s="6"/>
      <c r="AU212" s="6"/>
    </row>
    <row r="213" spans="31:47" ht="12.75" customHeight="1" x14ac:dyDescent="0.3">
      <c r="AE213" s="6"/>
      <c r="AJ213" s="6"/>
      <c r="AU213" s="6"/>
    </row>
    <row r="214" spans="31:47" ht="12.75" customHeight="1" x14ac:dyDescent="0.3">
      <c r="AE214" s="6"/>
      <c r="AJ214" s="6"/>
      <c r="AU214" s="6"/>
    </row>
    <row r="215" spans="31:47" ht="12.75" customHeight="1" x14ac:dyDescent="0.3">
      <c r="AE215" s="6"/>
      <c r="AJ215" s="6"/>
      <c r="AU215" s="6"/>
    </row>
    <row r="216" spans="31:47" ht="12.75" customHeight="1" x14ac:dyDescent="0.3">
      <c r="AE216" s="6"/>
      <c r="AJ216" s="6"/>
      <c r="AU216" s="6"/>
    </row>
    <row r="217" spans="31:47" ht="12.75" customHeight="1" x14ac:dyDescent="0.3">
      <c r="AE217" s="6"/>
      <c r="AJ217" s="6"/>
      <c r="AU217" s="6"/>
    </row>
    <row r="218" spans="31:47" ht="12.75" customHeight="1" x14ac:dyDescent="0.3">
      <c r="AE218" s="6"/>
      <c r="AJ218" s="6"/>
      <c r="AU218" s="6"/>
    </row>
    <row r="219" spans="31:47" ht="12.75" customHeight="1" x14ac:dyDescent="0.3">
      <c r="AE219" s="6"/>
      <c r="AJ219" s="6"/>
      <c r="AU219" s="6"/>
    </row>
    <row r="220" spans="31:47" ht="12.75" customHeight="1" x14ac:dyDescent="0.3">
      <c r="AE220" s="6"/>
      <c r="AJ220" s="6"/>
      <c r="AU220" s="6"/>
    </row>
    <row r="221" spans="31:47" ht="12.75" customHeight="1" x14ac:dyDescent="0.3">
      <c r="AE221" s="6"/>
      <c r="AJ221" s="6"/>
      <c r="AU221" s="6"/>
    </row>
    <row r="222" spans="31:47" ht="12.75" customHeight="1" x14ac:dyDescent="0.3">
      <c r="AE222" s="6"/>
      <c r="AJ222" s="6"/>
      <c r="AU222" s="6"/>
    </row>
    <row r="223" spans="31:47" ht="12.75" customHeight="1" x14ac:dyDescent="0.3">
      <c r="AE223" s="6"/>
      <c r="AJ223" s="6"/>
      <c r="AU223" s="6"/>
    </row>
    <row r="224" spans="31:47" ht="12.75" customHeight="1" x14ac:dyDescent="0.3">
      <c r="AE224" s="6"/>
      <c r="AJ224" s="6"/>
      <c r="AU224" s="6"/>
    </row>
    <row r="225" spans="31:47" ht="12.75" customHeight="1" x14ac:dyDescent="0.3">
      <c r="AE225" s="6"/>
      <c r="AJ225" s="6"/>
      <c r="AU225" s="6"/>
    </row>
    <row r="226" spans="31:47" ht="12.75" customHeight="1" x14ac:dyDescent="0.3">
      <c r="AE226" s="6"/>
      <c r="AJ226" s="6"/>
      <c r="AU226" s="6"/>
    </row>
    <row r="227" spans="31:47" ht="12.75" customHeight="1" x14ac:dyDescent="0.3">
      <c r="AE227" s="6"/>
      <c r="AJ227" s="6"/>
      <c r="AU227" s="6"/>
    </row>
    <row r="228" spans="31:47" ht="12.75" customHeight="1" x14ac:dyDescent="0.3">
      <c r="AE228" s="6"/>
      <c r="AJ228" s="6"/>
      <c r="AU228" s="6"/>
    </row>
    <row r="229" spans="31:47" ht="12.75" customHeight="1" x14ac:dyDescent="0.3">
      <c r="AE229" s="6"/>
      <c r="AJ229" s="6"/>
      <c r="AU229" s="6"/>
    </row>
    <row r="230" spans="31:47" ht="12.75" customHeight="1" x14ac:dyDescent="0.3">
      <c r="AE230" s="6"/>
      <c r="AJ230" s="6"/>
      <c r="AU230" s="6"/>
    </row>
    <row r="231" spans="31:47" ht="12.75" customHeight="1" x14ac:dyDescent="0.3">
      <c r="AE231" s="6"/>
      <c r="AJ231" s="6"/>
      <c r="AU231" s="6"/>
    </row>
    <row r="232" spans="31:47" ht="12.75" customHeight="1" x14ac:dyDescent="0.3">
      <c r="AE232" s="6"/>
      <c r="AJ232" s="6"/>
      <c r="AU232" s="6"/>
    </row>
    <row r="233" spans="31:47" ht="12.75" customHeight="1" x14ac:dyDescent="0.3">
      <c r="AE233" s="6"/>
      <c r="AJ233" s="6"/>
      <c r="AU233" s="6"/>
    </row>
    <row r="234" spans="31:47" ht="12.75" customHeight="1" x14ac:dyDescent="0.3">
      <c r="AE234" s="6"/>
      <c r="AJ234" s="6"/>
      <c r="AU234" s="6"/>
    </row>
    <row r="235" spans="31:47" ht="12.75" customHeight="1" x14ac:dyDescent="0.3">
      <c r="AE235" s="6"/>
      <c r="AJ235" s="6"/>
      <c r="AU235" s="6"/>
    </row>
    <row r="236" spans="31:47" ht="12.75" customHeight="1" x14ac:dyDescent="0.3">
      <c r="AE236" s="6"/>
      <c r="AJ236" s="6"/>
      <c r="AU236" s="6"/>
    </row>
    <row r="237" spans="31:47" ht="12.75" customHeight="1" x14ac:dyDescent="0.3">
      <c r="AE237" s="6"/>
      <c r="AJ237" s="6"/>
      <c r="AU237" s="6"/>
    </row>
    <row r="238" spans="31:47" ht="12.75" customHeight="1" x14ac:dyDescent="0.3">
      <c r="AE238" s="6"/>
      <c r="AJ238" s="6"/>
      <c r="AU238" s="6"/>
    </row>
    <row r="239" spans="31:47" ht="12.75" customHeight="1" x14ac:dyDescent="0.3">
      <c r="AE239" s="6"/>
      <c r="AJ239" s="6"/>
      <c r="AU239" s="6"/>
    </row>
    <row r="240" spans="31:47" ht="12.75" customHeight="1" x14ac:dyDescent="0.3">
      <c r="AE240" s="6"/>
      <c r="AJ240" s="6"/>
      <c r="AU240" s="6"/>
    </row>
    <row r="241" spans="31:47" ht="12.75" customHeight="1" x14ac:dyDescent="0.3">
      <c r="AE241" s="6"/>
      <c r="AJ241" s="6"/>
      <c r="AU241" s="6"/>
    </row>
    <row r="242" spans="31:47" ht="12.75" customHeight="1" x14ac:dyDescent="0.3">
      <c r="AE242" s="6"/>
      <c r="AJ242" s="6"/>
      <c r="AU242" s="6"/>
    </row>
    <row r="243" spans="31:47" ht="12.75" customHeight="1" x14ac:dyDescent="0.3">
      <c r="AE243" s="6"/>
      <c r="AJ243" s="6"/>
      <c r="AU243" s="6"/>
    </row>
    <row r="244" spans="31:47" ht="12.75" customHeight="1" x14ac:dyDescent="0.3">
      <c r="AE244" s="6"/>
      <c r="AJ244" s="6"/>
      <c r="AU244" s="6"/>
    </row>
    <row r="245" spans="31:47" ht="12.75" customHeight="1" x14ac:dyDescent="0.3">
      <c r="AE245" s="6"/>
      <c r="AJ245" s="6"/>
      <c r="AU245" s="6"/>
    </row>
    <row r="246" spans="31:47" ht="12.75" customHeight="1" x14ac:dyDescent="0.3">
      <c r="AE246" s="6"/>
      <c r="AJ246" s="6"/>
      <c r="AU246" s="6"/>
    </row>
    <row r="247" spans="31:47" ht="12.75" customHeight="1" x14ac:dyDescent="0.3">
      <c r="AE247" s="6"/>
      <c r="AJ247" s="6"/>
      <c r="AU247" s="6"/>
    </row>
    <row r="248" spans="31:47" ht="12.75" customHeight="1" x14ac:dyDescent="0.3">
      <c r="AE248" s="6"/>
      <c r="AJ248" s="6"/>
      <c r="AU248" s="6"/>
    </row>
    <row r="249" spans="31:47" ht="12.75" customHeight="1" x14ac:dyDescent="0.3">
      <c r="AE249" s="6"/>
      <c r="AJ249" s="6"/>
      <c r="AU249" s="6"/>
    </row>
    <row r="250" spans="31:47" ht="12.75" customHeight="1" x14ac:dyDescent="0.3">
      <c r="AE250" s="6"/>
      <c r="AJ250" s="6"/>
      <c r="AU250" s="6"/>
    </row>
    <row r="251" spans="31:47" ht="12.75" customHeight="1" x14ac:dyDescent="0.3">
      <c r="AE251" s="6"/>
      <c r="AJ251" s="6"/>
      <c r="AU251" s="6"/>
    </row>
    <row r="252" spans="31:47" ht="12.75" customHeight="1" x14ac:dyDescent="0.3">
      <c r="AE252" s="6"/>
      <c r="AJ252" s="6"/>
      <c r="AU252" s="6"/>
    </row>
    <row r="253" spans="31:47" ht="12.75" customHeight="1" x14ac:dyDescent="0.3">
      <c r="AE253" s="6"/>
      <c r="AJ253" s="6"/>
      <c r="AU253" s="6"/>
    </row>
    <row r="254" spans="31:47" ht="12.75" customHeight="1" x14ac:dyDescent="0.3">
      <c r="AE254" s="6"/>
      <c r="AJ254" s="6"/>
      <c r="AU254" s="6"/>
    </row>
    <row r="255" spans="31:47" ht="12.75" customHeight="1" x14ac:dyDescent="0.3">
      <c r="AE255" s="6"/>
      <c r="AJ255" s="6"/>
      <c r="AU255" s="6"/>
    </row>
    <row r="256" spans="31:47" ht="12.75" customHeight="1" x14ac:dyDescent="0.3">
      <c r="AE256" s="6"/>
      <c r="AJ256" s="6"/>
      <c r="AU256" s="6"/>
    </row>
    <row r="257" spans="31:47" ht="12.75" customHeight="1" x14ac:dyDescent="0.3">
      <c r="AE257" s="6"/>
      <c r="AJ257" s="6"/>
      <c r="AU257" s="6"/>
    </row>
    <row r="258" spans="31:47" ht="12.75" customHeight="1" x14ac:dyDescent="0.3">
      <c r="AE258" s="6"/>
      <c r="AJ258" s="6"/>
      <c r="AU258" s="6"/>
    </row>
    <row r="259" spans="31:47" ht="12.75" customHeight="1" x14ac:dyDescent="0.3">
      <c r="AE259" s="6"/>
      <c r="AJ259" s="6"/>
      <c r="AU259" s="6"/>
    </row>
    <row r="260" spans="31:47" ht="12.75" customHeight="1" x14ac:dyDescent="0.3">
      <c r="AE260" s="6"/>
      <c r="AJ260" s="6"/>
      <c r="AU260" s="6"/>
    </row>
    <row r="261" spans="31:47" ht="12.75" customHeight="1" x14ac:dyDescent="0.3">
      <c r="AE261" s="6"/>
      <c r="AJ261" s="6"/>
      <c r="AU261" s="6"/>
    </row>
    <row r="262" spans="31:47" ht="12.75" customHeight="1" x14ac:dyDescent="0.3">
      <c r="AE262" s="6"/>
      <c r="AJ262" s="6"/>
      <c r="AU262" s="6"/>
    </row>
    <row r="263" spans="31:47" ht="12.75" customHeight="1" x14ac:dyDescent="0.3">
      <c r="AE263" s="6"/>
      <c r="AJ263" s="6"/>
      <c r="AU263" s="6"/>
    </row>
    <row r="264" spans="31:47" ht="12.75" customHeight="1" x14ac:dyDescent="0.3">
      <c r="AE264" s="6"/>
      <c r="AJ264" s="6"/>
      <c r="AU264" s="6"/>
    </row>
    <row r="265" spans="31:47" ht="12.75" customHeight="1" x14ac:dyDescent="0.3">
      <c r="AE265" s="6"/>
      <c r="AJ265" s="6"/>
      <c r="AU265" s="6"/>
    </row>
    <row r="266" spans="31:47" ht="12.75" customHeight="1" x14ac:dyDescent="0.3">
      <c r="AE266" s="6"/>
      <c r="AJ266" s="6"/>
      <c r="AU266" s="6"/>
    </row>
    <row r="267" spans="31:47" ht="12.75" customHeight="1" x14ac:dyDescent="0.3">
      <c r="AE267" s="6"/>
      <c r="AJ267" s="6"/>
      <c r="AU267" s="6"/>
    </row>
    <row r="268" spans="31:47" ht="12.75" customHeight="1" x14ac:dyDescent="0.3">
      <c r="AE268" s="6"/>
      <c r="AJ268" s="6"/>
      <c r="AU268" s="6"/>
    </row>
    <row r="269" spans="31:47" ht="12.75" customHeight="1" x14ac:dyDescent="0.3">
      <c r="AE269" s="6"/>
      <c r="AJ269" s="6"/>
      <c r="AU269" s="6"/>
    </row>
    <row r="270" spans="31:47" ht="12.75" customHeight="1" x14ac:dyDescent="0.3">
      <c r="AE270" s="6"/>
      <c r="AJ270" s="6"/>
      <c r="AU270" s="6"/>
    </row>
    <row r="271" spans="31:47" ht="12.75" customHeight="1" x14ac:dyDescent="0.3">
      <c r="AE271" s="6"/>
      <c r="AJ271" s="6"/>
      <c r="AU271" s="6"/>
    </row>
    <row r="272" spans="31:47" ht="12.75" customHeight="1" x14ac:dyDescent="0.3">
      <c r="AE272" s="6"/>
      <c r="AJ272" s="6"/>
      <c r="AU272" s="6"/>
    </row>
    <row r="273" spans="31:47" ht="12.75" customHeight="1" x14ac:dyDescent="0.3">
      <c r="AE273" s="6"/>
      <c r="AJ273" s="6"/>
      <c r="AU273" s="6"/>
    </row>
    <row r="274" spans="31:47" ht="12.75" customHeight="1" x14ac:dyDescent="0.3">
      <c r="AE274" s="6"/>
      <c r="AJ274" s="6"/>
      <c r="AU274" s="6"/>
    </row>
    <row r="275" spans="31:47" ht="12.75" customHeight="1" x14ac:dyDescent="0.3">
      <c r="AE275" s="6"/>
      <c r="AJ275" s="6"/>
      <c r="AU275" s="6"/>
    </row>
    <row r="276" spans="31:47" ht="12.75" customHeight="1" x14ac:dyDescent="0.3">
      <c r="AE276" s="6"/>
      <c r="AJ276" s="6"/>
      <c r="AU276" s="6"/>
    </row>
    <row r="277" spans="31:47" ht="12.75" customHeight="1" x14ac:dyDescent="0.3">
      <c r="AE277" s="6"/>
      <c r="AJ277" s="6"/>
      <c r="AU277" s="6"/>
    </row>
    <row r="278" spans="31:47" ht="12.75" customHeight="1" x14ac:dyDescent="0.3">
      <c r="AE278" s="6"/>
      <c r="AJ278" s="6"/>
      <c r="AU278" s="6"/>
    </row>
    <row r="279" spans="31:47" ht="12.75" customHeight="1" x14ac:dyDescent="0.3">
      <c r="AE279" s="6"/>
      <c r="AJ279" s="6"/>
      <c r="AU279" s="6"/>
    </row>
    <row r="280" spans="31:47" ht="12.75" customHeight="1" x14ac:dyDescent="0.3">
      <c r="AE280" s="6"/>
      <c r="AJ280" s="6"/>
      <c r="AU280" s="6"/>
    </row>
    <row r="281" spans="31:47" ht="12.75" customHeight="1" x14ac:dyDescent="0.3">
      <c r="AE281" s="6"/>
      <c r="AJ281" s="6"/>
      <c r="AU281" s="6"/>
    </row>
    <row r="282" spans="31:47" ht="12.75" customHeight="1" x14ac:dyDescent="0.3">
      <c r="AE282" s="6"/>
      <c r="AJ282" s="6"/>
      <c r="AU282" s="6"/>
    </row>
    <row r="283" spans="31:47" ht="12.75" customHeight="1" x14ac:dyDescent="0.3">
      <c r="AE283" s="6"/>
      <c r="AJ283" s="6"/>
      <c r="AU283" s="6"/>
    </row>
    <row r="284" spans="31:47" ht="12.75" customHeight="1" x14ac:dyDescent="0.3">
      <c r="AE284" s="6"/>
      <c r="AJ284" s="6"/>
      <c r="AU284" s="6"/>
    </row>
    <row r="285" spans="31:47" ht="12.75" customHeight="1" x14ac:dyDescent="0.3">
      <c r="AE285" s="6"/>
      <c r="AJ285" s="6"/>
      <c r="AU285" s="6"/>
    </row>
    <row r="286" spans="31:47" ht="12.75" customHeight="1" x14ac:dyDescent="0.3">
      <c r="AE286" s="6"/>
      <c r="AJ286" s="6"/>
      <c r="AU286" s="6"/>
    </row>
    <row r="287" spans="31:47" ht="12.75" customHeight="1" x14ac:dyDescent="0.3">
      <c r="AE287" s="6"/>
      <c r="AJ287" s="6"/>
      <c r="AU287" s="6"/>
    </row>
    <row r="288" spans="31:47" ht="12.75" customHeight="1" x14ac:dyDescent="0.3">
      <c r="AE288" s="6"/>
      <c r="AJ288" s="6"/>
      <c r="AU288" s="6"/>
    </row>
    <row r="289" spans="31:47" ht="12.75" customHeight="1" x14ac:dyDescent="0.3">
      <c r="AE289" s="6"/>
      <c r="AJ289" s="6"/>
      <c r="AU289" s="6"/>
    </row>
    <row r="290" spans="31:47" ht="12.75" customHeight="1" x14ac:dyDescent="0.3">
      <c r="AE290" s="6"/>
      <c r="AJ290" s="6"/>
      <c r="AU290" s="6"/>
    </row>
    <row r="291" spans="31:47" ht="12.75" customHeight="1" x14ac:dyDescent="0.3">
      <c r="AE291" s="6"/>
      <c r="AJ291" s="6"/>
      <c r="AU291" s="6"/>
    </row>
    <row r="292" spans="31:47" ht="12.75" customHeight="1" x14ac:dyDescent="0.3">
      <c r="AE292" s="6"/>
      <c r="AJ292" s="6"/>
      <c r="AU292" s="6"/>
    </row>
    <row r="293" spans="31:47" ht="12.75" customHeight="1" x14ac:dyDescent="0.3">
      <c r="AE293" s="6"/>
      <c r="AJ293" s="6"/>
      <c r="AU293" s="6"/>
    </row>
    <row r="294" spans="31:47" ht="12.75" customHeight="1" x14ac:dyDescent="0.3">
      <c r="AE294" s="6"/>
      <c r="AJ294" s="6"/>
      <c r="AU294" s="6"/>
    </row>
    <row r="295" spans="31:47" ht="12.75" customHeight="1" x14ac:dyDescent="0.3">
      <c r="AE295" s="6"/>
      <c r="AJ295" s="6"/>
      <c r="AU295" s="6"/>
    </row>
    <row r="296" spans="31:47" ht="12.75" customHeight="1" x14ac:dyDescent="0.3">
      <c r="AE296" s="6"/>
      <c r="AJ296" s="6"/>
      <c r="AU296" s="6"/>
    </row>
    <row r="297" spans="31:47" ht="12.75" customHeight="1" x14ac:dyDescent="0.3">
      <c r="AE297" s="6"/>
      <c r="AJ297" s="6"/>
      <c r="AU297" s="6"/>
    </row>
    <row r="298" spans="31:47" ht="12.75" customHeight="1" x14ac:dyDescent="0.3">
      <c r="AE298" s="6"/>
      <c r="AJ298" s="6"/>
      <c r="AU298" s="6"/>
    </row>
    <row r="299" spans="31:47" ht="12.75" customHeight="1" x14ac:dyDescent="0.3">
      <c r="AE299" s="6"/>
      <c r="AJ299" s="6"/>
      <c r="AU299" s="6"/>
    </row>
    <row r="300" spans="31:47" ht="12.75" customHeight="1" x14ac:dyDescent="0.3">
      <c r="AE300" s="6"/>
      <c r="AJ300" s="6"/>
      <c r="AU300" s="6"/>
    </row>
    <row r="301" spans="31:47" ht="12.75" customHeight="1" x14ac:dyDescent="0.3">
      <c r="AE301" s="6"/>
      <c r="AJ301" s="6"/>
      <c r="AU301" s="6"/>
    </row>
    <row r="302" spans="31:47" ht="12.75" customHeight="1" x14ac:dyDescent="0.3">
      <c r="AE302" s="6"/>
      <c r="AJ302" s="6"/>
      <c r="AU302" s="6"/>
    </row>
    <row r="303" spans="31:47" ht="12.75" customHeight="1" x14ac:dyDescent="0.3">
      <c r="AE303" s="6"/>
      <c r="AJ303" s="6"/>
      <c r="AU303" s="6"/>
    </row>
    <row r="304" spans="31:47" ht="12.75" customHeight="1" x14ac:dyDescent="0.3">
      <c r="AE304" s="6"/>
      <c r="AJ304" s="6"/>
      <c r="AU304" s="6"/>
    </row>
    <row r="305" spans="31:47" ht="12.75" customHeight="1" x14ac:dyDescent="0.3">
      <c r="AE305" s="6"/>
      <c r="AJ305" s="6"/>
      <c r="AU305" s="6"/>
    </row>
    <row r="306" spans="31:47" ht="12.75" customHeight="1" x14ac:dyDescent="0.3">
      <c r="AE306" s="6"/>
      <c r="AJ306" s="6"/>
      <c r="AU306" s="6"/>
    </row>
    <row r="307" spans="31:47" ht="12.75" customHeight="1" x14ac:dyDescent="0.3">
      <c r="AE307" s="6"/>
      <c r="AJ307" s="6"/>
      <c r="AU307" s="6"/>
    </row>
    <row r="308" spans="31:47" ht="12.75" customHeight="1" x14ac:dyDescent="0.3">
      <c r="AE308" s="6"/>
      <c r="AJ308" s="6"/>
      <c r="AU308" s="6"/>
    </row>
    <row r="309" spans="31:47" ht="12.75" customHeight="1" x14ac:dyDescent="0.3">
      <c r="AE309" s="6"/>
      <c r="AJ309" s="6"/>
      <c r="AU309" s="6"/>
    </row>
    <row r="310" spans="31:47" ht="12.75" customHeight="1" x14ac:dyDescent="0.3">
      <c r="AE310" s="6"/>
      <c r="AJ310" s="6"/>
      <c r="AU310" s="6"/>
    </row>
    <row r="311" spans="31:47" ht="12.75" customHeight="1" x14ac:dyDescent="0.3">
      <c r="AE311" s="6"/>
      <c r="AJ311" s="6"/>
      <c r="AU311" s="6"/>
    </row>
    <row r="312" spans="31:47" ht="12.75" customHeight="1" x14ac:dyDescent="0.3">
      <c r="AE312" s="6"/>
      <c r="AJ312" s="6"/>
      <c r="AU312" s="6"/>
    </row>
    <row r="313" spans="31:47" ht="12.75" customHeight="1" x14ac:dyDescent="0.3">
      <c r="AE313" s="6"/>
      <c r="AJ313" s="6"/>
      <c r="AU313" s="6"/>
    </row>
    <row r="314" spans="31:47" ht="12.75" customHeight="1" x14ac:dyDescent="0.3">
      <c r="AE314" s="6"/>
      <c r="AJ314" s="6"/>
      <c r="AU314" s="6"/>
    </row>
    <row r="315" spans="31:47" ht="12.75" customHeight="1" x14ac:dyDescent="0.3">
      <c r="AE315" s="6"/>
      <c r="AJ315" s="6"/>
      <c r="AU315" s="6"/>
    </row>
    <row r="316" spans="31:47" ht="12.75" customHeight="1" x14ac:dyDescent="0.3">
      <c r="AE316" s="6"/>
      <c r="AJ316" s="6"/>
      <c r="AU316" s="6"/>
    </row>
    <row r="317" spans="31:47" ht="12.75" customHeight="1" x14ac:dyDescent="0.3">
      <c r="AE317" s="6"/>
      <c r="AJ317" s="6"/>
      <c r="AU317" s="6"/>
    </row>
    <row r="318" spans="31:47" ht="12.75" customHeight="1" x14ac:dyDescent="0.3">
      <c r="AE318" s="6"/>
      <c r="AJ318" s="6"/>
      <c r="AU318" s="6"/>
    </row>
    <row r="319" spans="31:47" ht="12.75" customHeight="1" x14ac:dyDescent="0.3">
      <c r="AE319" s="6"/>
      <c r="AJ319" s="6"/>
      <c r="AU319" s="6"/>
    </row>
    <row r="320" spans="31:47" ht="12.75" customHeight="1" x14ac:dyDescent="0.3">
      <c r="AE320" s="6"/>
      <c r="AJ320" s="6"/>
      <c r="AU320" s="6"/>
    </row>
    <row r="321" spans="31:47" ht="12.75" customHeight="1" x14ac:dyDescent="0.3">
      <c r="AE321" s="6"/>
      <c r="AJ321" s="6"/>
      <c r="AU321" s="6"/>
    </row>
    <row r="322" spans="31:47" ht="12.75" customHeight="1" x14ac:dyDescent="0.3">
      <c r="AE322" s="6"/>
      <c r="AJ322" s="6"/>
      <c r="AU322" s="6"/>
    </row>
    <row r="323" spans="31:47" ht="12.75" customHeight="1" x14ac:dyDescent="0.3">
      <c r="AE323" s="6"/>
      <c r="AJ323" s="6"/>
      <c r="AU323" s="6"/>
    </row>
    <row r="324" spans="31:47" ht="12.75" customHeight="1" x14ac:dyDescent="0.3">
      <c r="AE324" s="6"/>
      <c r="AJ324" s="6"/>
      <c r="AU324" s="6"/>
    </row>
    <row r="325" spans="31:47" ht="12.75" customHeight="1" x14ac:dyDescent="0.3">
      <c r="AE325" s="6"/>
      <c r="AJ325" s="6"/>
      <c r="AU325" s="6"/>
    </row>
    <row r="326" spans="31:47" ht="12.75" customHeight="1" x14ac:dyDescent="0.3">
      <c r="AE326" s="6"/>
      <c r="AJ326" s="6"/>
      <c r="AU326" s="6"/>
    </row>
    <row r="327" spans="31:47" ht="12.75" customHeight="1" x14ac:dyDescent="0.3">
      <c r="AE327" s="6"/>
      <c r="AJ327" s="6"/>
      <c r="AU327" s="6"/>
    </row>
    <row r="328" spans="31:47" ht="12.75" customHeight="1" x14ac:dyDescent="0.3">
      <c r="AE328" s="6"/>
      <c r="AJ328" s="6"/>
      <c r="AU328" s="6"/>
    </row>
    <row r="329" spans="31:47" ht="12.75" customHeight="1" x14ac:dyDescent="0.3">
      <c r="AE329" s="6"/>
      <c r="AJ329" s="6"/>
      <c r="AU329" s="6"/>
    </row>
    <row r="330" spans="31:47" ht="12.75" customHeight="1" x14ac:dyDescent="0.3">
      <c r="AE330" s="6"/>
      <c r="AJ330" s="6"/>
      <c r="AU330" s="6"/>
    </row>
    <row r="331" spans="31:47" ht="12.75" customHeight="1" x14ac:dyDescent="0.3">
      <c r="AE331" s="6"/>
      <c r="AJ331" s="6"/>
      <c r="AU331" s="6"/>
    </row>
    <row r="332" spans="31:47" ht="12.75" customHeight="1" x14ac:dyDescent="0.3">
      <c r="AE332" s="6"/>
      <c r="AJ332" s="6"/>
      <c r="AU332" s="6"/>
    </row>
    <row r="333" spans="31:47" ht="12.75" customHeight="1" x14ac:dyDescent="0.3">
      <c r="AE333" s="6"/>
      <c r="AJ333" s="6"/>
      <c r="AU333" s="6"/>
    </row>
    <row r="334" spans="31:47" ht="12.75" customHeight="1" x14ac:dyDescent="0.3">
      <c r="AE334" s="6"/>
      <c r="AJ334" s="6"/>
      <c r="AU334" s="6"/>
    </row>
    <row r="335" spans="31:47" ht="12.75" customHeight="1" x14ac:dyDescent="0.3">
      <c r="AE335" s="6"/>
      <c r="AJ335" s="6"/>
      <c r="AU335" s="6"/>
    </row>
    <row r="336" spans="31:47" ht="12.75" customHeight="1" x14ac:dyDescent="0.3">
      <c r="AE336" s="6"/>
      <c r="AJ336" s="6"/>
      <c r="AU336" s="6"/>
    </row>
    <row r="337" spans="31:47" ht="12.75" customHeight="1" x14ac:dyDescent="0.3">
      <c r="AE337" s="6"/>
      <c r="AJ337" s="6"/>
      <c r="AU337" s="6"/>
    </row>
    <row r="338" spans="31:47" ht="12.75" customHeight="1" x14ac:dyDescent="0.3">
      <c r="AE338" s="6"/>
      <c r="AJ338" s="6"/>
      <c r="AU338" s="6"/>
    </row>
    <row r="339" spans="31:47" ht="12.75" customHeight="1" x14ac:dyDescent="0.3">
      <c r="AE339" s="6"/>
      <c r="AJ339" s="6"/>
      <c r="AU339" s="6"/>
    </row>
    <row r="340" spans="31:47" ht="12.75" customHeight="1" x14ac:dyDescent="0.3">
      <c r="AE340" s="6"/>
      <c r="AJ340" s="6"/>
      <c r="AU340" s="6"/>
    </row>
    <row r="341" spans="31:47" ht="12.75" customHeight="1" x14ac:dyDescent="0.3">
      <c r="AE341" s="6"/>
      <c r="AJ341" s="6"/>
      <c r="AU341" s="6"/>
    </row>
    <row r="342" spans="31:47" ht="12.75" customHeight="1" x14ac:dyDescent="0.3">
      <c r="AE342" s="6"/>
      <c r="AJ342" s="6"/>
      <c r="AU342" s="6"/>
    </row>
    <row r="343" spans="31:47" ht="12.75" customHeight="1" x14ac:dyDescent="0.3">
      <c r="AE343" s="6"/>
      <c r="AJ343" s="6"/>
      <c r="AU343" s="6"/>
    </row>
    <row r="344" spans="31:47" ht="12.75" customHeight="1" x14ac:dyDescent="0.3">
      <c r="AE344" s="6"/>
      <c r="AJ344" s="6"/>
      <c r="AU344" s="6"/>
    </row>
    <row r="345" spans="31:47" ht="12.75" customHeight="1" x14ac:dyDescent="0.3">
      <c r="AE345" s="6"/>
      <c r="AJ345" s="6"/>
      <c r="AU345" s="6"/>
    </row>
    <row r="346" spans="31:47" ht="12.75" customHeight="1" x14ac:dyDescent="0.3">
      <c r="AE346" s="6"/>
      <c r="AJ346" s="6"/>
      <c r="AU346" s="6"/>
    </row>
    <row r="347" spans="31:47" ht="12.75" customHeight="1" x14ac:dyDescent="0.3">
      <c r="AE347" s="6"/>
      <c r="AJ347" s="6"/>
      <c r="AU347" s="6"/>
    </row>
    <row r="348" spans="31:47" ht="12.75" customHeight="1" x14ac:dyDescent="0.3">
      <c r="AE348" s="6"/>
      <c r="AJ348" s="6"/>
      <c r="AU348" s="6"/>
    </row>
    <row r="349" spans="31:47" ht="12.75" customHeight="1" x14ac:dyDescent="0.3">
      <c r="AE349" s="6"/>
      <c r="AJ349" s="6"/>
      <c r="AU349" s="6"/>
    </row>
    <row r="350" spans="31:47" ht="12.75" customHeight="1" x14ac:dyDescent="0.3">
      <c r="AE350" s="6"/>
      <c r="AJ350" s="6"/>
      <c r="AU350" s="6"/>
    </row>
    <row r="351" spans="31:47" ht="12.75" customHeight="1" x14ac:dyDescent="0.3">
      <c r="AE351" s="6"/>
      <c r="AJ351" s="6"/>
      <c r="AU351" s="6"/>
    </row>
    <row r="352" spans="31:47" ht="12.75" customHeight="1" x14ac:dyDescent="0.3">
      <c r="AE352" s="6"/>
      <c r="AJ352" s="6"/>
      <c r="AU352" s="6"/>
    </row>
    <row r="353" spans="31:47" ht="12.75" customHeight="1" x14ac:dyDescent="0.3">
      <c r="AE353" s="6"/>
      <c r="AJ353" s="6"/>
      <c r="AU353" s="6"/>
    </row>
    <row r="354" spans="31:47" ht="12.75" customHeight="1" x14ac:dyDescent="0.3">
      <c r="AE354" s="6"/>
      <c r="AJ354" s="6"/>
      <c r="AU354" s="6"/>
    </row>
    <row r="355" spans="31:47" ht="12.75" customHeight="1" x14ac:dyDescent="0.3">
      <c r="AE355" s="6"/>
      <c r="AJ355" s="6"/>
      <c r="AU355" s="6"/>
    </row>
    <row r="356" spans="31:47" ht="12.75" customHeight="1" x14ac:dyDescent="0.3">
      <c r="AE356" s="6"/>
      <c r="AJ356" s="6"/>
      <c r="AU356" s="6"/>
    </row>
    <row r="357" spans="31:47" ht="12.75" customHeight="1" x14ac:dyDescent="0.3">
      <c r="AE357" s="6"/>
      <c r="AJ357" s="6"/>
      <c r="AU357" s="6"/>
    </row>
    <row r="358" spans="31:47" ht="12.75" customHeight="1" x14ac:dyDescent="0.3">
      <c r="AE358" s="6"/>
      <c r="AJ358" s="6"/>
      <c r="AU358" s="6"/>
    </row>
    <row r="359" spans="31:47" ht="12.75" customHeight="1" x14ac:dyDescent="0.3">
      <c r="AE359" s="6"/>
      <c r="AJ359" s="6"/>
      <c r="AU359" s="6"/>
    </row>
    <row r="360" spans="31:47" ht="12.75" customHeight="1" x14ac:dyDescent="0.3">
      <c r="AE360" s="6"/>
      <c r="AJ360" s="6"/>
      <c r="AU360" s="6"/>
    </row>
    <row r="361" spans="31:47" ht="12.75" customHeight="1" x14ac:dyDescent="0.3">
      <c r="AE361" s="6"/>
      <c r="AJ361" s="6"/>
      <c r="AU361" s="6"/>
    </row>
    <row r="362" spans="31:47" ht="12.75" customHeight="1" x14ac:dyDescent="0.3">
      <c r="AE362" s="6"/>
      <c r="AJ362" s="6"/>
      <c r="AU362" s="6"/>
    </row>
    <row r="363" spans="31:47" ht="12.75" customHeight="1" x14ac:dyDescent="0.3">
      <c r="AE363" s="6"/>
      <c r="AJ363" s="6"/>
      <c r="AU363" s="6"/>
    </row>
    <row r="364" spans="31:47" ht="12.75" customHeight="1" x14ac:dyDescent="0.3">
      <c r="AE364" s="6"/>
      <c r="AJ364" s="6"/>
      <c r="AU364" s="6"/>
    </row>
    <row r="365" spans="31:47" ht="12.75" customHeight="1" x14ac:dyDescent="0.3">
      <c r="AE365" s="6"/>
      <c r="AJ365" s="6"/>
      <c r="AU365" s="6"/>
    </row>
    <row r="366" spans="31:47" ht="12.75" customHeight="1" x14ac:dyDescent="0.3">
      <c r="AE366" s="6"/>
      <c r="AJ366" s="6"/>
      <c r="AU366" s="6"/>
    </row>
    <row r="367" spans="31:47" ht="12.75" customHeight="1" x14ac:dyDescent="0.3">
      <c r="AE367" s="6"/>
      <c r="AJ367" s="6"/>
      <c r="AU367" s="6"/>
    </row>
    <row r="368" spans="31:47" ht="12.75" customHeight="1" x14ac:dyDescent="0.3">
      <c r="AE368" s="6"/>
      <c r="AJ368" s="6"/>
      <c r="AU368" s="6"/>
    </row>
    <row r="369" spans="31:47" ht="12.75" customHeight="1" x14ac:dyDescent="0.3">
      <c r="AE369" s="6"/>
      <c r="AJ369" s="6"/>
      <c r="AU369" s="6"/>
    </row>
    <row r="370" spans="31:47" ht="12.75" customHeight="1" x14ac:dyDescent="0.3">
      <c r="AE370" s="6"/>
      <c r="AJ370" s="6"/>
      <c r="AU370" s="6"/>
    </row>
    <row r="371" spans="31:47" ht="12.75" customHeight="1" x14ac:dyDescent="0.3">
      <c r="AE371" s="6"/>
      <c r="AJ371" s="6"/>
      <c r="AU371" s="6"/>
    </row>
    <row r="372" spans="31:47" ht="12.75" customHeight="1" x14ac:dyDescent="0.3">
      <c r="AE372" s="6"/>
      <c r="AJ372" s="6"/>
      <c r="AU372" s="6"/>
    </row>
    <row r="373" spans="31:47" ht="12.75" customHeight="1" x14ac:dyDescent="0.3">
      <c r="AE373" s="6"/>
      <c r="AJ373" s="6"/>
      <c r="AU373" s="6"/>
    </row>
    <row r="374" spans="31:47" ht="12.75" customHeight="1" x14ac:dyDescent="0.3">
      <c r="AE374" s="6"/>
      <c r="AJ374" s="6"/>
      <c r="AU374" s="6"/>
    </row>
    <row r="375" spans="31:47" ht="12.75" customHeight="1" x14ac:dyDescent="0.3">
      <c r="AE375" s="6"/>
      <c r="AJ375" s="6"/>
      <c r="AU375" s="6"/>
    </row>
    <row r="376" spans="31:47" ht="12.75" customHeight="1" x14ac:dyDescent="0.3">
      <c r="AE376" s="6"/>
      <c r="AJ376" s="6"/>
      <c r="AU376" s="6"/>
    </row>
    <row r="377" spans="31:47" ht="12.75" customHeight="1" x14ac:dyDescent="0.3">
      <c r="AE377" s="6"/>
      <c r="AJ377" s="6"/>
      <c r="AU377" s="6"/>
    </row>
    <row r="378" spans="31:47" ht="12.75" customHeight="1" x14ac:dyDescent="0.3">
      <c r="AE378" s="6"/>
      <c r="AJ378" s="6"/>
      <c r="AU378" s="6"/>
    </row>
    <row r="379" spans="31:47" ht="12.75" customHeight="1" x14ac:dyDescent="0.3">
      <c r="AE379" s="6"/>
      <c r="AJ379" s="6"/>
      <c r="AU379" s="6"/>
    </row>
    <row r="380" spans="31:47" ht="12.75" customHeight="1" x14ac:dyDescent="0.3">
      <c r="AE380" s="6"/>
      <c r="AJ380" s="6"/>
      <c r="AU380" s="6"/>
    </row>
    <row r="381" spans="31:47" ht="12.75" customHeight="1" x14ac:dyDescent="0.3">
      <c r="AE381" s="6"/>
      <c r="AJ381" s="6"/>
      <c r="AU381" s="6"/>
    </row>
    <row r="382" spans="31:47" ht="12.75" customHeight="1" x14ac:dyDescent="0.3">
      <c r="AE382" s="6"/>
      <c r="AJ382" s="6"/>
      <c r="AU382" s="6"/>
    </row>
    <row r="383" spans="31:47" ht="12.75" customHeight="1" x14ac:dyDescent="0.3">
      <c r="AE383" s="6"/>
      <c r="AJ383" s="6"/>
      <c r="AU383" s="6"/>
    </row>
    <row r="384" spans="31:47" ht="12.75" customHeight="1" x14ac:dyDescent="0.3">
      <c r="AE384" s="6"/>
      <c r="AJ384" s="6"/>
      <c r="AU384" s="6"/>
    </row>
    <row r="385" spans="31:47" ht="12.75" customHeight="1" x14ac:dyDescent="0.3">
      <c r="AE385" s="6"/>
      <c r="AJ385" s="6"/>
      <c r="AU385" s="6"/>
    </row>
    <row r="386" spans="31:47" ht="12.75" customHeight="1" x14ac:dyDescent="0.3">
      <c r="AE386" s="6"/>
      <c r="AJ386" s="6"/>
      <c r="AU386" s="6"/>
    </row>
    <row r="387" spans="31:47" ht="12.75" customHeight="1" x14ac:dyDescent="0.3">
      <c r="AE387" s="6"/>
      <c r="AJ387" s="6"/>
      <c r="AU387" s="6"/>
    </row>
    <row r="388" spans="31:47" ht="12.75" customHeight="1" x14ac:dyDescent="0.3">
      <c r="AE388" s="6"/>
      <c r="AJ388" s="6"/>
      <c r="AU388" s="6"/>
    </row>
    <row r="389" spans="31:47" ht="12.75" customHeight="1" x14ac:dyDescent="0.3">
      <c r="AE389" s="6"/>
      <c r="AJ389" s="6"/>
      <c r="AU389" s="6"/>
    </row>
    <row r="390" spans="31:47" ht="12.75" customHeight="1" x14ac:dyDescent="0.3">
      <c r="AE390" s="6"/>
      <c r="AJ390" s="6"/>
      <c r="AU390" s="6"/>
    </row>
    <row r="391" spans="31:47" ht="12.75" customHeight="1" x14ac:dyDescent="0.3">
      <c r="AE391" s="6"/>
      <c r="AJ391" s="6"/>
      <c r="AU391" s="6"/>
    </row>
    <row r="392" spans="31:47" ht="12.75" customHeight="1" x14ac:dyDescent="0.3">
      <c r="AE392" s="6"/>
      <c r="AJ392" s="6"/>
      <c r="AU392" s="6"/>
    </row>
    <row r="393" spans="31:47" ht="12.75" customHeight="1" x14ac:dyDescent="0.3">
      <c r="AE393" s="6"/>
      <c r="AJ393" s="6"/>
      <c r="AU393" s="6"/>
    </row>
    <row r="394" spans="31:47" ht="12.75" customHeight="1" x14ac:dyDescent="0.3">
      <c r="AE394" s="6"/>
      <c r="AJ394" s="6"/>
      <c r="AU394" s="6"/>
    </row>
    <row r="395" spans="31:47" ht="12.75" customHeight="1" x14ac:dyDescent="0.3">
      <c r="AE395" s="6"/>
      <c r="AJ395" s="6"/>
      <c r="AU395" s="6"/>
    </row>
    <row r="396" spans="31:47" ht="12.75" customHeight="1" x14ac:dyDescent="0.3">
      <c r="AE396" s="6"/>
      <c r="AJ396" s="6"/>
      <c r="AU396" s="6"/>
    </row>
    <row r="397" spans="31:47" ht="12.75" customHeight="1" x14ac:dyDescent="0.3">
      <c r="AE397" s="6"/>
      <c r="AJ397" s="6"/>
      <c r="AU397" s="6"/>
    </row>
    <row r="398" spans="31:47" ht="12.75" customHeight="1" x14ac:dyDescent="0.3">
      <c r="AE398" s="6"/>
      <c r="AJ398" s="6"/>
      <c r="AU398" s="6"/>
    </row>
    <row r="399" spans="31:47" ht="12.75" customHeight="1" x14ac:dyDescent="0.3">
      <c r="AE399" s="6"/>
      <c r="AJ399" s="6"/>
      <c r="AU399" s="6"/>
    </row>
    <row r="400" spans="31:47" ht="12.75" customHeight="1" x14ac:dyDescent="0.3">
      <c r="AE400" s="6"/>
      <c r="AJ400" s="6"/>
      <c r="AU400" s="6"/>
    </row>
    <row r="401" spans="31:47" ht="12.75" customHeight="1" x14ac:dyDescent="0.3">
      <c r="AE401" s="6"/>
      <c r="AJ401" s="6"/>
      <c r="AU401" s="6"/>
    </row>
    <row r="402" spans="31:47" ht="12.75" customHeight="1" x14ac:dyDescent="0.3">
      <c r="AE402" s="6"/>
      <c r="AJ402" s="6"/>
      <c r="AU402" s="6"/>
    </row>
    <row r="403" spans="31:47" ht="12.75" customHeight="1" x14ac:dyDescent="0.3">
      <c r="AE403" s="6"/>
      <c r="AJ403" s="6"/>
      <c r="AU403" s="6"/>
    </row>
    <row r="404" spans="31:47" ht="12.75" customHeight="1" x14ac:dyDescent="0.3">
      <c r="AE404" s="6"/>
      <c r="AJ404" s="6"/>
      <c r="AU404" s="6"/>
    </row>
    <row r="405" spans="31:47" ht="12.75" customHeight="1" x14ac:dyDescent="0.3">
      <c r="AE405" s="6"/>
      <c r="AJ405" s="6"/>
      <c r="AU405" s="6"/>
    </row>
    <row r="406" spans="31:47" ht="12.75" customHeight="1" x14ac:dyDescent="0.3">
      <c r="AE406" s="6"/>
      <c r="AJ406" s="6"/>
      <c r="AU406" s="6"/>
    </row>
    <row r="407" spans="31:47" ht="12.75" customHeight="1" x14ac:dyDescent="0.3">
      <c r="AE407" s="6"/>
      <c r="AJ407" s="6"/>
      <c r="AU407" s="6"/>
    </row>
    <row r="408" spans="31:47" ht="12.75" customHeight="1" x14ac:dyDescent="0.3">
      <c r="AE408" s="6"/>
      <c r="AJ408" s="6"/>
      <c r="AU408" s="6"/>
    </row>
    <row r="409" spans="31:47" ht="12.75" customHeight="1" x14ac:dyDescent="0.3">
      <c r="AE409" s="6"/>
      <c r="AJ409" s="6"/>
      <c r="AU409" s="6"/>
    </row>
    <row r="410" spans="31:47" ht="12.75" customHeight="1" x14ac:dyDescent="0.3">
      <c r="AE410" s="6"/>
      <c r="AJ410" s="6"/>
      <c r="AU410" s="6"/>
    </row>
    <row r="411" spans="31:47" ht="12.75" customHeight="1" x14ac:dyDescent="0.3">
      <c r="AE411" s="6"/>
      <c r="AJ411" s="6"/>
      <c r="AU411" s="6"/>
    </row>
    <row r="412" spans="31:47" ht="12.75" customHeight="1" x14ac:dyDescent="0.3">
      <c r="AE412" s="6"/>
      <c r="AJ412" s="6"/>
      <c r="AU412" s="6"/>
    </row>
    <row r="413" spans="31:47" ht="12.75" customHeight="1" x14ac:dyDescent="0.3">
      <c r="AE413" s="6"/>
      <c r="AJ413" s="6"/>
      <c r="AU413" s="6"/>
    </row>
    <row r="414" spans="31:47" ht="12.75" customHeight="1" x14ac:dyDescent="0.3">
      <c r="AE414" s="6"/>
      <c r="AJ414" s="6"/>
      <c r="AU414" s="6"/>
    </row>
    <row r="415" spans="31:47" ht="12.75" customHeight="1" x14ac:dyDescent="0.3">
      <c r="AE415" s="6"/>
      <c r="AJ415" s="6"/>
      <c r="AU415" s="6"/>
    </row>
    <row r="416" spans="31:47" ht="12.75" customHeight="1" x14ac:dyDescent="0.3">
      <c r="AE416" s="6"/>
      <c r="AJ416" s="6"/>
      <c r="AU416" s="6"/>
    </row>
    <row r="417" spans="31:47" ht="12.75" customHeight="1" x14ac:dyDescent="0.3">
      <c r="AE417" s="6"/>
      <c r="AJ417" s="6"/>
      <c r="AU417" s="6"/>
    </row>
    <row r="418" spans="31:47" ht="12.75" customHeight="1" x14ac:dyDescent="0.3">
      <c r="AE418" s="6"/>
      <c r="AJ418" s="6"/>
      <c r="AU418" s="6"/>
    </row>
    <row r="419" spans="31:47" ht="12.75" customHeight="1" x14ac:dyDescent="0.3">
      <c r="AE419" s="6"/>
      <c r="AJ419" s="6"/>
      <c r="AU419" s="6"/>
    </row>
    <row r="420" spans="31:47" ht="12.75" customHeight="1" x14ac:dyDescent="0.3">
      <c r="AE420" s="6"/>
      <c r="AJ420" s="6"/>
      <c r="AU420" s="6"/>
    </row>
    <row r="421" spans="31:47" ht="12.75" customHeight="1" x14ac:dyDescent="0.3">
      <c r="AE421" s="6"/>
      <c r="AJ421" s="6"/>
      <c r="AU421" s="6"/>
    </row>
    <row r="422" spans="31:47" ht="12.75" customHeight="1" x14ac:dyDescent="0.3">
      <c r="AE422" s="6"/>
      <c r="AJ422" s="6"/>
      <c r="AU422" s="6"/>
    </row>
    <row r="423" spans="31:47" ht="12.75" customHeight="1" x14ac:dyDescent="0.3">
      <c r="AE423" s="6"/>
      <c r="AJ423" s="6"/>
      <c r="AU423" s="6"/>
    </row>
    <row r="424" spans="31:47" ht="12.75" customHeight="1" x14ac:dyDescent="0.3">
      <c r="AE424" s="6"/>
      <c r="AJ424" s="6"/>
      <c r="AU424" s="6"/>
    </row>
    <row r="425" spans="31:47" ht="12.75" customHeight="1" x14ac:dyDescent="0.3">
      <c r="AE425" s="6"/>
      <c r="AJ425" s="6"/>
      <c r="AU425" s="6"/>
    </row>
    <row r="426" spans="31:47" ht="12.75" customHeight="1" x14ac:dyDescent="0.3">
      <c r="AE426" s="6"/>
      <c r="AJ426" s="6"/>
      <c r="AU426" s="6"/>
    </row>
    <row r="427" spans="31:47" ht="12.75" customHeight="1" x14ac:dyDescent="0.3">
      <c r="AE427" s="6"/>
      <c r="AJ427" s="6"/>
      <c r="AU427" s="6"/>
    </row>
    <row r="428" spans="31:47" ht="12.75" customHeight="1" x14ac:dyDescent="0.3">
      <c r="AE428" s="6"/>
      <c r="AJ428" s="6"/>
      <c r="AU428" s="6"/>
    </row>
    <row r="429" spans="31:47" ht="12.75" customHeight="1" x14ac:dyDescent="0.3">
      <c r="AE429" s="6"/>
      <c r="AJ429" s="6"/>
      <c r="AU429" s="6"/>
    </row>
    <row r="430" spans="31:47" ht="12.75" customHeight="1" x14ac:dyDescent="0.3">
      <c r="AE430" s="6"/>
      <c r="AJ430" s="6"/>
      <c r="AU430" s="6"/>
    </row>
    <row r="431" spans="31:47" ht="12.75" customHeight="1" x14ac:dyDescent="0.3">
      <c r="AE431" s="6"/>
      <c r="AJ431" s="6"/>
      <c r="AU431" s="6"/>
    </row>
    <row r="432" spans="31:47" ht="12.75" customHeight="1" x14ac:dyDescent="0.3">
      <c r="AE432" s="6"/>
      <c r="AJ432" s="6"/>
      <c r="AU432" s="6"/>
    </row>
    <row r="433" spans="31:47" ht="12.75" customHeight="1" x14ac:dyDescent="0.3">
      <c r="AE433" s="6"/>
      <c r="AJ433" s="6"/>
      <c r="AU433" s="6"/>
    </row>
    <row r="434" spans="31:47" ht="12.75" customHeight="1" x14ac:dyDescent="0.3">
      <c r="AE434" s="6"/>
      <c r="AJ434" s="6"/>
      <c r="AU434" s="6"/>
    </row>
    <row r="435" spans="31:47" ht="12.75" customHeight="1" x14ac:dyDescent="0.3">
      <c r="AE435" s="6"/>
      <c r="AJ435" s="6"/>
      <c r="AU435" s="6"/>
    </row>
    <row r="436" spans="31:47" ht="12.75" customHeight="1" x14ac:dyDescent="0.3">
      <c r="AE436" s="6"/>
      <c r="AJ436" s="6"/>
      <c r="AU436" s="6"/>
    </row>
    <row r="437" spans="31:47" ht="12.75" customHeight="1" x14ac:dyDescent="0.3">
      <c r="AE437" s="6"/>
      <c r="AJ437" s="6"/>
      <c r="AU437" s="6"/>
    </row>
    <row r="438" spans="31:47" ht="12.75" customHeight="1" x14ac:dyDescent="0.3">
      <c r="AE438" s="6"/>
      <c r="AJ438" s="6"/>
      <c r="AU438" s="6"/>
    </row>
    <row r="439" spans="31:47" ht="12.75" customHeight="1" x14ac:dyDescent="0.3">
      <c r="AE439" s="6"/>
      <c r="AJ439" s="6"/>
      <c r="AU439" s="6"/>
    </row>
    <row r="440" spans="31:47" ht="12.75" customHeight="1" x14ac:dyDescent="0.3">
      <c r="AE440" s="6"/>
      <c r="AJ440" s="6"/>
      <c r="AU440" s="6"/>
    </row>
    <row r="441" spans="31:47" ht="12.75" customHeight="1" x14ac:dyDescent="0.3">
      <c r="AE441" s="6"/>
      <c r="AJ441" s="6"/>
      <c r="AU441" s="6"/>
    </row>
    <row r="442" spans="31:47" ht="12.75" customHeight="1" x14ac:dyDescent="0.3">
      <c r="AE442" s="6"/>
      <c r="AJ442" s="6"/>
      <c r="AU442" s="6"/>
    </row>
    <row r="443" spans="31:47" ht="12.75" customHeight="1" x14ac:dyDescent="0.3">
      <c r="AE443" s="6"/>
      <c r="AJ443" s="6"/>
      <c r="AU443" s="6"/>
    </row>
    <row r="444" spans="31:47" ht="12.75" customHeight="1" x14ac:dyDescent="0.3">
      <c r="AE444" s="6"/>
      <c r="AJ444" s="6"/>
      <c r="AU444" s="6"/>
    </row>
    <row r="445" spans="31:47" ht="12.75" customHeight="1" x14ac:dyDescent="0.3">
      <c r="AE445" s="6"/>
      <c r="AJ445" s="6"/>
      <c r="AU445" s="6"/>
    </row>
    <row r="446" spans="31:47" ht="12.75" customHeight="1" x14ac:dyDescent="0.3">
      <c r="AE446" s="6"/>
      <c r="AJ446" s="6"/>
      <c r="AU446" s="6"/>
    </row>
    <row r="447" spans="31:47" ht="12.75" customHeight="1" x14ac:dyDescent="0.3">
      <c r="AE447" s="6"/>
      <c r="AJ447" s="6"/>
      <c r="AU447" s="6"/>
    </row>
    <row r="448" spans="31:47" ht="12.75" customHeight="1" x14ac:dyDescent="0.3">
      <c r="AE448" s="6"/>
      <c r="AJ448" s="6"/>
      <c r="AU448" s="6"/>
    </row>
    <row r="449" spans="31:47" ht="12.75" customHeight="1" x14ac:dyDescent="0.3">
      <c r="AE449" s="6"/>
      <c r="AJ449" s="6"/>
      <c r="AU449" s="6"/>
    </row>
    <row r="450" spans="31:47" ht="12.75" customHeight="1" x14ac:dyDescent="0.3">
      <c r="AE450" s="6"/>
      <c r="AJ450" s="6"/>
      <c r="AU450" s="6"/>
    </row>
    <row r="451" spans="31:47" ht="12.75" customHeight="1" x14ac:dyDescent="0.3">
      <c r="AE451" s="6"/>
      <c r="AJ451" s="6"/>
      <c r="AU451" s="6"/>
    </row>
    <row r="452" spans="31:47" ht="12.75" customHeight="1" x14ac:dyDescent="0.3">
      <c r="AE452" s="6"/>
      <c r="AJ452" s="6"/>
      <c r="AU452" s="6"/>
    </row>
    <row r="453" spans="31:47" ht="12.75" customHeight="1" x14ac:dyDescent="0.3">
      <c r="AE453" s="6"/>
      <c r="AJ453" s="6"/>
      <c r="AU453" s="6"/>
    </row>
    <row r="454" spans="31:47" ht="12.75" customHeight="1" x14ac:dyDescent="0.3">
      <c r="AE454" s="6"/>
      <c r="AJ454" s="6"/>
      <c r="AU454" s="6"/>
    </row>
    <row r="455" spans="31:47" ht="12.75" customHeight="1" x14ac:dyDescent="0.3">
      <c r="AE455" s="6"/>
      <c r="AJ455" s="6"/>
      <c r="AU455" s="6"/>
    </row>
    <row r="456" spans="31:47" ht="12.75" customHeight="1" x14ac:dyDescent="0.3">
      <c r="AE456" s="6"/>
      <c r="AJ456" s="6"/>
      <c r="AU456" s="6"/>
    </row>
    <row r="457" spans="31:47" ht="12.75" customHeight="1" x14ac:dyDescent="0.3">
      <c r="AE457" s="6"/>
      <c r="AJ457" s="6"/>
      <c r="AU457" s="6"/>
    </row>
    <row r="458" spans="31:47" ht="12.75" customHeight="1" x14ac:dyDescent="0.3">
      <c r="AE458" s="6"/>
      <c r="AJ458" s="6"/>
      <c r="AU458" s="6"/>
    </row>
    <row r="459" spans="31:47" ht="12.75" customHeight="1" x14ac:dyDescent="0.3">
      <c r="AE459" s="6"/>
      <c r="AJ459" s="6"/>
      <c r="AU459" s="6"/>
    </row>
    <row r="460" spans="31:47" ht="12.75" customHeight="1" x14ac:dyDescent="0.3">
      <c r="AE460" s="6"/>
      <c r="AJ460" s="6"/>
      <c r="AU460" s="6"/>
    </row>
    <row r="461" spans="31:47" ht="12.75" customHeight="1" x14ac:dyDescent="0.3">
      <c r="AE461" s="6"/>
      <c r="AJ461" s="6"/>
      <c r="AU461" s="6"/>
    </row>
    <row r="462" spans="31:47" ht="12.75" customHeight="1" x14ac:dyDescent="0.3">
      <c r="AE462" s="6"/>
      <c r="AJ462" s="6"/>
      <c r="AU462" s="6"/>
    </row>
    <row r="463" spans="31:47" ht="12.75" customHeight="1" x14ac:dyDescent="0.3">
      <c r="AE463" s="6"/>
      <c r="AJ463" s="6"/>
      <c r="AU463" s="6"/>
    </row>
    <row r="464" spans="31:47" ht="12.75" customHeight="1" x14ac:dyDescent="0.3">
      <c r="AE464" s="6"/>
      <c r="AJ464" s="6"/>
      <c r="AU464" s="6"/>
    </row>
    <row r="465" spans="31:47" ht="12.75" customHeight="1" x14ac:dyDescent="0.3">
      <c r="AE465" s="6"/>
      <c r="AJ465" s="6"/>
      <c r="AU465" s="6"/>
    </row>
    <row r="466" spans="31:47" ht="12.75" customHeight="1" x14ac:dyDescent="0.3">
      <c r="AE466" s="6"/>
      <c r="AJ466" s="6"/>
      <c r="AU466" s="6"/>
    </row>
    <row r="467" spans="31:47" ht="12.75" customHeight="1" x14ac:dyDescent="0.3">
      <c r="AE467" s="6"/>
      <c r="AJ467" s="6"/>
      <c r="AU467" s="6"/>
    </row>
    <row r="468" spans="31:47" ht="12.75" customHeight="1" x14ac:dyDescent="0.3">
      <c r="AE468" s="6"/>
      <c r="AJ468" s="6"/>
      <c r="AU468" s="6"/>
    </row>
    <row r="469" spans="31:47" ht="12.75" customHeight="1" x14ac:dyDescent="0.3">
      <c r="AE469" s="6"/>
      <c r="AJ469" s="6"/>
      <c r="AU469" s="6"/>
    </row>
    <row r="470" spans="31:47" ht="12.75" customHeight="1" x14ac:dyDescent="0.3">
      <c r="AE470" s="6"/>
      <c r="AJ470" s="6"/>
      <c r="AU470" s="6"/>
    </row>
    <row r="471" spans="31:47" ht="12.75" customHeight="1" x14ac:dyDescent="0.3">
      <c r="AE471" s="6"/>
      <c r="AJ471" s="6"/>
      <c r="AU471" s="6"/>
    </row>
    <row r="472" spans="31:47" ht="12.75" customHeight="1" x14ac:dyDescent="0.3">
      <c r="AE472" s="6"/>
      <c r="AJ472" s="6"/>
      <c r="AU472" s="6"/>
    </row>
    <row r="473" spans="31:47" ht="12.75" customHeight="1" x14ac:dyDescent="0.3">
      <c r="AE473" s="6"/>
      <c r="AJ473" s="6"/>
      <c r="AU473" s="6"/>
    </row>
    <row r="474" spans="31:47" ht="12.75" customHeight="1" x14ac:dyDescent="0.3">
      <c r="AE474" s="6"/>
      <c r="AJ474" s="6"/>
      <c r="AU474" s="6"/>
    </row>
    <row r="475" spans="31:47" ht="12.75" customHeight="1" x14ac:dyDescent="0.3">
      <c r="AE475" s="6"/>
      <c r="AJ475" s="6"/>
      <c r="AU475" s="6"/>
    </row>
    <row r="476" spans="31:47" ht="12.75" customHeight="1" x14ac:dyDescent="0.3">
      <c r="AE476" s="6"/>
      <c r="AJ476" s="6"/>
      <c r="AU476" s="6"/>
    </row>
    <row r="477" spans="31:47" ht="12.75" customHeight="1" x14ac:dyDescent="0.3">
      <c r="AE477" s="6"/>
      <c r="AJ477" s="6"/>
      <c r="AU477" s="6"/>
    </row>
    <row r="478" spans="31:47" ht="12.75" customHeight="1" x14ac:dyDescent="0.3">
      <c r="AE478" s="6"/>
      <c r="AJ478" s="6"/>
      <c r="AU478" s="6"/>
    </row>
    <row r="479" spans="31:47" ht="12.75" customHeight="1" x14ac:dyDescent="0.3">
      <c r="AE479" s="6"/>
      <c r="AJ479" s="6"/>
      <c r="AU479" s="6"/>
    </row>
    <row r="480" spans="31:47" ht="12.75" customHeight="1" x14ac:dyDescent="0.3">
      <c r="AE480" s="6"/>
      <c r="AJ480" s="6"/>
      <c r="AU480" s="6"/>
    </row>
    <row r="481" spans="31:47" ht="12.75" customHeight="1" x14ac:dyDescent="0.3">
      <c r="AE481" s="6"/>
      <c r="AJ481" s="6"/>
      <c r="AU481" s="6"/>
    </row>
    <row r="482" spans="31:47" ht="12.75" customHeight="1" x14ac:dyDescent="0.3">
      <c r="AE482" s="6"/>
      <c r="AJ482" s="6"/>
      <c r="AU482" s="6"/>
    </row>
    <row r="483" spans="31:47" ht="12.75" customHeight="1" x14ac:dyDescent="0.3">
      <c r="AE483" s="6"/>
      <c r="AJ483" s="6"/>
      <c r="AU483" s="6"/>
    </row>
    <row r="484" spans="31:47" ht="12.75" customHeight="1" x14ac:dyDescent="0.3">
      <c r="AE484" s="6"/>
      <c r="AJ484" s="6"/>
      <c r="AU484" s="6"/>
    </row>
    <row r="485" spans="31:47" ht="12.75" customHeight="1" x14ac:dyDescent="0.3">
      <c r="AE485" s="6"/>
      <c r="AJ485" s="6"/>
      <c r="AU485" s="6"/>
    </row>
    <row r="486" spans="31:47" ht="12.75" customHeight="1" x14ac:dyDescent="0.3">
      <c r="AE486" s="6"/>
      <c r="AJ486" s="6"/>
      <c r="AU486" s="6"/>
    </row>
    <row r="487" spans="31:47" ht="12.75" customHeight="1" x14ac:dyDescent="0.3">
      <c r="AE487" s="6"/>
      <c r="AJ487" s="6"/>
      <c r="AU487" s="6"/>
    </row>
    <row r="488" spans="31:47" ht="12.75" customHeight="1" x14ac:dyDescent="0.3">
      <c r="AE488" s="6"/>
      <c r="AJ488" s="6"/>
      <c r="AU488" s="6"/>
    </row>
    <row r="489" spans="31:47" ht="12.75" customHeight="1" x14ac:dyDescent="0.3">
      <c r="AE489" s="6"/>
      <c r="AJ489" s="6"/>
      <c r="AU489" s="6"/>
    </row>
    <row r="490" spans="31:47" ht="12.75" customHeight="1" x14ac:dyDescent="0.3">
      <c r="AE490" s="6"/>
      <c r="AJ490" s="6"/>
      <c r="AU490" s="6"/>
    </row>
    <row r="491" spans="31:47" ht="12.75" customHeight="1" x14ac:dyDescent="0.3">
      <c r="AE491" s="6"/>
      <c r="AJ491" s="6"/>
      <c r="AU491" s="6"/>
    </row>
    <row r="492" spans="31:47" ht="12.75" customHeight="1" x14ac:dyDescent="0.3">
      <c r="AE492" s="6"/>
      <c r="AJ492" s="6"/>
      <c r="AU492" s="6"/>
    </row>
    <row r="493" spans="31:47" ht="12.75" customHeight="1" x14ac:dyDescent="0.3">
      <c r="AE493" s="6"/>
      <c r="AJ493" s="6"/>
      <c r="AU493" s="6"/>
    </row>
    <row r="494" spans="31:47" ht="12.75" customHeight="1" x14ac:dyDescent="0.3">
      <c r="AE494" s="6"/>
      <c r="AJ494" s="6"/>
      <c r="AU494" s="6"/>
    </row>
    <row r="495" spans="31:47" ht="12.75" customHeight="1" x14ac:dyDescent="0.3">
      <c r="AE495" s="6"/>
      <c r="AJ495" s="6"/>
      <c r="AU495" s="6"/>
    </row>
    <row r="496" spans="31:47" ht="12.75" customHeight="1" x14ac:dyDescent="0.3">
      <c r="AE496" s="6"/>
      <c r="AJ496" s="6"/>
      <c r="AU496" s="6"/>
    </row>
    <row r="497" spans="31:47" ht="12.75" customHeight="1" x14ac:dyDescent="0.3">
      <c r="AE497" s="6"/>
      <c r="AJ497" s="6"/>
      <c r="AU497" s="6"/>
    </row>
    <row r="498" spans="31:47" ht="12.75" customHeight="1" x14ac:dyDescent="0.3">
      <c r="AE498" s="6"/>
      <c r="AJ498" s="6"/>
      <c r="AU498" s="6"/>
    </row>
    <row r="499" spans="31:47" ht="12.75" customHeight="1" x14ac:dyDescent="0.3">
      <c r="AE499" s="6"/>
      <c r="AJ499" s="6"/>
      <c r="AU499" s="6"/>
    </row>
    <row r="500" spans="31:47" ht="12.75" customHeight="1" x14ac:dyDescent="0.3">
      <c r="AE500" s="6"/>
      <c r="AJ500" s="6"/>
      <c r="AU500" s="6"/>
    </row>
    <row r="501" spans="31:47" ht="12.75" customHeight="1" x14ac:dyDescent="0.3">
      <c r="AE501" s="6"/>
      <c r="AJ501" s="6"/>
      <c r="AU501" s="6"/>
    </row>
    <row r="502" spans="31:47" ht="12.75" customHeight="1" x14ac:dyDescent="0.3">
      <c r="AE502" s="6"/>
      <c r="AJ502" s="6"/>
      <c r="AU502" s="6"/>
    </row>
    <row r="503" spans="31:47" ht="12.75" customHeight="1" x14ac:dyDescent="0.3">
      <c r="AE503" s="6"/>
      <c r="AJ503" s="6"/>
      <c r="AU503" s="6"/>
    </row>
    <row r="504" spans="31:47" ht="12.75" customHeight="1" x14ac:dyDescent="0.3">
      <c r="AE504" s="6"/>
      <c r="AJ504" s="6"/>
      <c r="AU504" s="6"/>
    </row>
    <row r="505" spans="31:47" ht="12.75" customHeight="1" x14ac:dyDescent="0.3">
      <c r="AE505" s="6"/>
      <c r="AJ505" s="6"/>
      <c r="AU505" s="6"/>
    </row>
    <row r="506" spans="31:47" ht="12.75" customHeight="1" x14ac:dyDescent="0.3">
      <c r="AE506" s="6"/>
      <c r="AJ506" s="6"/>
      <c r="AU506" s="6"/>
    </row>
    <row r="507" spans="31:47" ht="12.75" customHeight="1" x14ac:dyDescent="0.3">
      <c r="AE507" s="6"/>
      <c r="AJ507" s="6"/>
      <c r="AU507" s="6"/>
    </row>
    <row r="508" spans="31:47" ht="12.75" customHeight="1" x14ac:dyDescent="0.3">
      <c r="AE508" s="6"/>
      <c r="AJ508" s="6"/>
      <c r="AU508" s="6"/>
    </row>
    <row r="509" spans="31:47" ht="12.75" customHeight="1" x14ac:dyDescent="0.3">
      <c r="AE509" s="6"/>
      <c r="AJ509" s="6"/>
      <c r="AU509" s="6"/>
    </row>
    <row r="510" spans="31:47" ht="12.75" customHeight="1" x14ac:dyDescent="0.3">
      <c r="AE510" s="6"/>
      <c r="AJ510" s="6"/>
      <c r="AU510" s="6"/>
    </row>
    <row r="511" spans="31:47" ht="12.75" customHeight="1" x14ac:dyDescent="0.3">
      <c r="AE511" s="6"/>
      <c r="AJ511" s="6"/>
      <c r="AU511" s="6"/>
    </row>
    <row r="512" spans="31:47" ht="12.75" customHeight="1" x14ac:dyDescent="0.3">
      <c r="AE512" s="6"/>
      <c r="AJ512" s="6"/>
      <c r="AU512" s="6"/>
    </row>
    <row r="513" spans="31:47" ht="12.75" customHeight="1" x14ac:dyDescent="0.3">
      <c r="AE513" s="6"/>
      <c r="AJ513" s="6"/>
      <c r="AU513" s="6"/>
    </row>
    <row r="514" spans="31:47" ht="12.75" customHeight="1" x14ac:dyDescent="0.3">
      <c r="AE514" s="6"/>
      <c r="AJ514" s="6"/>
      <c r="AU514" s="6"/>
    </row>
    <row r="515" spans="31:47" ht="12.75" customHeight="1" x14ac:dyDescent="0.3">
      <c r="AE515" s="6"/>
      <c r="AJ515" s="6"/>
      <c r="AU515" s="6"/>
    </row>
    <row r="516" spans="31:47" ht="12.75" customHeight="1" x14ac:dyDescent="0.3">
      <c r="AE516" s="6"/>
      <c r="AJ516" s="6"/>
      <c r="AU516" s="6"/>
    </row>
    <row r="517" spans="31:47" ht="12.75" customHeight="1" x14ac:dyDescent="0.3">
      <c r="AE517" s="6"/>
      <c r="AJ517" s="6"/>
      <c r="AU517" s="6"/>
    </row>
    <row r="518" spans="31:47" ht="12.75" customHeight="1" x14ac:dyDescent="0.3">
      <c r="AE518" s="6"/>
      <c r="AJ518" s="6"/>
      <c r="AU518" s="6"/>
    </row>
    <row r="519" spans="31:47" ht="12.75" customHeight="1" x14ac:dyDescent="0.3">
      <c r="AE519" s="6"/>
      <c r="AJ519" s="6"/>
      <c r="AU519" s="6"/>
    </row>
    <row r="520" spans="31:47" ht="12.75" customHeight="1" x14ac:dyDescent="0.3">
      <c r="AE520" s="6"/>
      <c r="AJ520" s="6"/>
      <c r="AU520" s="6"/>
    </row>
    <row r="521" spans="31:47" ht="12.75" customHeight="1" x14ac:dyDescent="0.3">
      <c r="AE521" s="6"/>
      <c r="AJ521" s="6"/>
      <c r="AU521" s="6"/>
    </row>
    <row r="522" spans="31:47" ht="12.75" customHeight="1" x14ac:dyDescent="0.3">
      <c r="AE522" s="6"/>
      <c r="AJ522" s="6"/>
      <c r="AU522" s="6"/>
    </row>
    <row r="523" spans="31:47" ht="12.75" customHeight="1" x14ac:dyDescent="0.3">
      <c r="AE523" s="6"/>
      <c r="AJ523" s="6"/>
      <c r="AU523" s="6"/>
    </row>
    <row r="524" spans="31:47" ht="12.75" customHeight="1" x14ac:dyDescent="0.3">
      <c r="AE524" s="6"/>
      <c r="AJ524" s="6"/>
      <c r="AU524" s="6"/>
    </row>
    <row r="525" spans="31:47" ht="12.75" customHeight="1" x14ac:dyDescent="0.3">
      <c r="AE525" s="6"/>
      <c r="AJ525" s="6"/>
      <c r="AU525" s="6"/>
    </row>
    <row r="526" spans="31:47" ht="12.75" customHeight="1" x14ac:dyDescent="0.3">
      <c r="AE526" s="6"/>
      <c r="AJ526" s="6"/>
      <c r="AU526" s="6"/>
    </row>
    <row r="527" spans="31:47" ht="12.75" customHeight="1" x14ac:dyDescent="0.3">
      <c r="AE527" s="6"/>
      <c r="AJ527" s="6"/>
      <c r="AU527" s="6"/>
    </row>
    <row r="528" spans="31:47" ht="12.75" customHeight="1" x14ac:dyDescent="0.3">
      <c r="AE528" s="6"/>
      <c r="AJ528" s="6"/>
      <c r="AU528" s="6"/>
    </row>
    <row r="529" spans="31:47" ht="12.75" customHeight="1" x14ac:dyDescent="0.3">
      <c r="AE529" s="6"/>
      <c r="AJ529" s="6"/>
      <c r="AU529" s="6"/>
    </row>
    <row r="530" spans="31:47" ht="12.75" customHeight="1" x14ac:dyDescent="0.3">
      <c r="AE530" s="6"/>
      <c r="AJ530" s="6"/>
      <c r="AU530" s="6"/>
    </row>
    <row r="531" spans="31:47" ht="12.75" customHeight="1" x14ac:dyDescent="0.3">
      <c r="AE531" s="6"/>
      <c r="AJ531" s="6"/>
      <c r="AU531" s="6"/>
    </row>
    <row r="532" spans="31:47" ht="12.75" customHeight="1" x14ac:dyDescent="0.3">
      <c r="AE532" s="6"/>
      <c r="AJ532" s="6"/>
      <c r="AU532" s="6"/>
    </row>
    <row r="533" spans="31:47" ht="12.75" customHeight="1" x14ac:dyDescent="0.3">
      <c r="AE533" s="6"/>
      <c r="AJ533" s="6"/>
      <c r="AU533" s="6"/>
    </row>
    <row r="534" spans="31:47" ht="12.75" customHeight="1" x14ac:dyDescent="0.3">
      <c r="AE534" s="6"/>
      <c r="AJ534" s="6"/>
      <c r="AU534" s="6"/>
    </row>
    <row r="535" spans="31:47" ht="12.75" customHeight="1" x14ac:dyDescent="0.3">
      <c r="AE535" s="6"/>
      <c r="AJ535" s="6"/>
      <c r="AU535" s="6"/>
    </row>
    <row r="536" spans="31:47" ht="12.75" customHeight="1" x14ac:dyDescent="0.3">
      <c r="AE536" s="6"/>
      <c r="AJ536" s="6"/>
      <c r="AU536" s="6"/>
    </row>
    <row r="537" spans="31:47" ht="12.75" customHeight="1" x14ac:dyDescent="0.3">
      <c r="AE537" s="6"/>
      <c r="AJ537" s="6"/>
      <c r="AU537" s="6"/>
    </row>
    <row r="538" spans="31:47" ht="12.75" customHeight="1" x14ac:dyDescent="0.3">
      <c r="AE538" s="6"/>
      <c r="AJ538" s="6"/>
      <c r="AU538" s="6"/>
    </row>
    <row r="539" spans="31:47" ht="12.75" customHeight="1" x14ac:dyDescent="0.3">
      <c r="AE539" s="6"/>
      <c r="AJ539" s="6"/>
      <c r="AU539" s="6"/>
    </row>
    <row r="540" spans="31:47" ht="12.75" customHeight="1" x14ac:dyDescent="0.3">
      <c r="AE540" s="6"/>
      <c r="AJ540" s="6"/>
      <c r="AU540" s="6"/>
    </row>
    <row r="541" spans="31:47" ht="12.75" customHeight="1" x14ac:dyDescent="0.3">
      <c r="AE541" s="6"/>
      <c r="AJ541" s="6"/>
      <c r="AU541" s="6"/>
    </row>
    <row r="542" spans="31:47" ht="12.75" customHeight="1" x14ac:dyDescent="0.3">
      <c r="AE542" s="6"/>
      <c r="AJ542" s="6"/>
      <c r="AU542" s="6"/>
    </row>
    <row r="543" spans="31:47" ht="12.75" customHeight="1" x14ac:dyDescent="0.3">
      <c r="AE543" s="6"/>
      <c r="AJ543" s="6"/>
      <c r="AU543" s="6"/>
    </row>
    <row r="544" spans="31:47" ht="12.75" customHeight="1" x14ac:dyDescent="0.3">
      <c r="AE544" s="6"/>
      <c r="AJ544" s="6"/>
      <c r="AU544" s="6"/>
    </row>
    <row r="545" spans="31:47" ht="12.75" customHeight="1" x14ac:dyDescent="0.3">
      <c r="AE545" s="6"/>
      <c r="AJ545" s="6"/>
      <c r="AU545" s="6"/>
    </row>
    <row r="546" spans="31:47" ht="12.75" customHeight="1" x14ac:dyDescent="0.3">
      <c r="AE546" s="6"/>
      <c r="AJ546" s="6"/>
      <c r="AU546" s="6"/>
    </row>
    <row r="547" spans="31:47" ht="12.75" customHeight="1" x14ac:dyDescent="0.3">
      <c r="AE547" s="6"/>
      <c r="AJ547" s="6"/>
      <c r="AU547" s="6"/>
    </row>
    <row r="548" spans="31:47" ht="12.75" customHeight="1" x14ac:dyDescent="0.3">
      <c r="AE548" s="6"/>
      <c r="AJ548" s="6"/>
      <c r="AU548" s="6"/>
    </row>
    <row r="549" spans="31:47" ht="12.75" customHeight="1" x14ac:dyDescent="0.3">
      <c r="AE549" s="6"/>
      <c r="AJ549" s="6"/>
      <c r="AU549" s="6"/>
    </row>
    <row r="550" spans="31:47" ht="12.75" customHeight="1" x14ac:dyDescent="0.3">
      <c r="AE550" s="6"/>
      <c r="AJ550" s="6"/>
      <c r="AU550" s="6"/>
    </row>
    <row r="551" spans="31:47" ht="12.75" customHeight="1" x14ac:dyDescent="0.3">
      <c r="AE551" s="6"/>
      <c r="AJ551" s="6"/>
      <c r="AU551" s="6"/>
    </row>
    <row r="552" spans="31:47" ht="12.75" customHeight="1" x14ac:dyDescent="0.3">
      <c r="AE552" s="6"/>
      <c r="AJ552" s="6"/>
      <c r="AU552" s="6"/>
    </row>
    <row r="553" spans="31:47" ht="12.75" customHeight="1" x14ac:dyDescent="0.3">
      <c r="AE553" s="6"/>
      <c r="AJ553" s="6"/>
      <c r="AU553" s="6"/>
    </row>
    <row r="554" spans="31:47" ht="12.75" customHeight="1" x14ac:dyDescent="0.3">
      <c r="AE554" s="6"/>
      <c r="AJ554" s="6"/>
      <c r="AU554" s="6"/>
    </row>
    <row r="555" spans="31:47" ht="12.75" customHeight="1" x14ac:dyDescent="0.3">
      <c r="AE555" s="6"/>
      <c r="AJ555" s="6"/>
      <c r="AU555" s="6"/>
    </row>
    <row r="556" spans="31:47" ht="12.75" customHeight="1" x14ac:dyDescent="0.3">
      <c r="AE556" s="6"/>
      <c r="AJ556" s="6"/>
      <c r="AU556" s="6"/>
    </row>
    <row r="557" spans="31:47" ht="12.75" customHeight="1" x14ac:dyDescent="0.3">
      <c r="AE557" s="6"/>
      <c r="AJ557" s="6"/>
      <c r="AU557" s="6"/>
    </row>
    <row r="558" spans="31:47" ht="12.75" customHeight="1" x14ac:dyDescent="0.3">
      <c r="AE558" s="6"/>
      <c r="AJ558" s="6"/>
      <c r="AU558" s="6"/>
    </row>
    <row r="559" spans="31:47" ht="12.75" customHeight="1" x14ac:dyDescent="0.3">
      <c r="AE559" s="6"/>
      <c r="AJ559" s="6"/>
      <c r="AU559" s="6"/>
    </row>
    <row r="560" spans="31:47" ht="12.75" customHeight="1" x14ac:dyDescent="0.3">
      <c r="AE560" s="6"/>
      <c r="AJ560" s="6"/>
      <c r="AU560" s="6"/>
    </row>
    <row r="561" spans="31:47" ht="12.75" customHeight="1" x14ac:dyDescent="0.3">
      <c r="AE561" s="6"/>
      <c r="AJ561" s="6"/>
      <c r="AU561" s="6"/>
    </row>
    <row r="562" spans="31:47" ht="12.75" customHeight="1" x14ac:dyDescent="0.3">
      <c r="AE562" s="6"/>
      <c r="AJ562" s="6"/>
      <c r="AU562" s="6"/>
    </row>
    <row r="563" spans="31:47" ht="12.75" customHeight="1" x14ac:dyDescent="0.3">
      <c r="AE563" s="6"/>
      <c r="AJ563" s="6"/>
      <c r="AU563" s="6"/>
    </row>
    <row r="564" spans="31:47" ht="12.75" customHeight="1" x14ac:dyDescent="0.3">
      <c r="AE564" s="6"/>
      <c r="AJ564" s="6"/>
      <c r="AU564" s="6"/>
    </row>
    <row r="565" spans="31:47" ht="12.75" customHeight="1" x14ac:dyDescent="0.3">
      <c r="AE565" s="6"/>
      <c r="AJ565" s="6"/>
      <c r="AU565" s="6"/>
    </row>
    <row r="566" spans="31:47" ht="12.75" customHeight="1" x14ac:dyDescent="0.3">
      <c r="AE566" s="6"/>
      <c r="AJ566" s="6"/>
      <c r="AU566" s="6"/>
    </row>
    <row r="567" spans="31:47" ht="12.75" customHeight="1" x14ac:dyDescent="0.3">
      <c r="AE567" s="6"/>
      <c r="AJ567" s="6"/>
      <c r="AU567" s="6"/>
    </row>
    <row r="568" spans="31:47" ht="12.75" customHeight="1" x14ac:dyDescent="0.3">
      <c r="AE568" s="6"/>
      <c r="AJ568" s="6"/>
      <c r="AU568" s="6"/>
    </row>
    <row r="569" spans="31:47" ht="12.75" customHeight="1" x14ac:dyDescent="0.3">
      <c r="AE569" s="6"/>
      <c r="AJ569" s="6"/>
      <c r="AU569" s="6"/>
    </row>
    <row r="570" spans="31:47" ht="12.75" customHeight="1" x14ac:dyDescent="0.3">
      <c r="AE570" s="6"/>
      <c r="AJ570" s="6"/>
      <c r="AU570" s="6"/>
    </row>
    <row r="571" spans="31:47" ht="12.75" customHeight="1" x14ac:dyDescent="0.3">
      <c r="AE571" s="6"/>
      <c r="AJ571" s="6"/>
      <c r="AU571" s="6"/>
    </row>
    <row r="572" spans="31:47" ht="12.75" customHeight="1" x14ac:dyDescent="0.3">
      <c r="AE572" s="6"/>
      <c r="AJ572" s="6"/>
      <c r="AU572" s="6"/>
    </row>
    <row r="573" spans="31:47" ht="12.75" customHeight="1" x14ac:dyDescent="0.3">
      <c r="AE573" s="6"/>
      <c r="AJ573" s="6"/>
      <c r="AU573" s="6"/>
    </row>
    <row r="574" spans="31:47" ht="12.75" customHeight="1" x14ac:dyDescent="0.3">
      <c r="AE574" s="6"/>
      <c r="AJ574" s="6"/>
      <c r="AU574" s="6"/>
    </row>
    <row r="575" spans="31:47" ht="12.75" customHeight="1" x14ac:dyDescent="0.3">
      <c r="AE575" s="6"/>
      <c r="AJ575" s="6"/>
      <c r="AU575" s="6"/>
    </row>
    <row r="576" spans="31:47" ht="12.75" customHeight="1" x14ac:dyDescent="0.3">
      <c r="AE576" s="6"/>
      <c r="AJ576" s="6"/>
      <c r="AU576" s="6"/>
    </row>
    <row r="577" spans="31:47" ht="12.75" customHeight="1" x14ac:dyDescent="0.3">
      <c r="AE577" s="6"/>
      <c r="AJ577" s="6"/>
      <c r="AU577" s="6"/>
    </row>
    <row r="578" spans="31:47" ht="12.75" customHeight="1" x14ac:dyDescent="0.3">
      <c r="AE578" s="6"/>
      <c r="AJ578" s="6"/>
      <c r="AU578" s="6"/>
    </row>
    <row r="579" spans="31:47" ht="12.75" customHeight="1" x14ac:dyDescent="0.3">
      <c r="AE579" s="6"/>
      <c r="AJ579" s="6"/>
      <c r="AU579" s="6"/>
    </row>
    <row r="580" spans="31:47" ht="12.75" customHeight="1" x14ac:dyDescent="0.3">
      <c r="AE580" s="6"/>
      <c r="AJ580" s="6"/>
      <c r="AU580" s="6"/>
    </row>
    <row r="581" spans="31:47" ht="12.75" customHeight="1" x14ac:dyDescent="0.3">
      <c r="AE581" s="6"/>
      <c r="AJ581" s="6"/>
      <c r="AU581" s="6"/>
    </row>
    <row r="582" spans="31:47" ht="12.75" customHeight="1" x14ac:dyDescent="0.3">
      <c r="AE582" s="6"/>
      <c r="AJ582" s="6"/>
      <c r="AU582" s="6"/>
    </row>
    <row r="583" spans="31:47" ht="12.75" customHeight="1" x14ac:dyDescent="0.3">
      <c r="AE583" s="6"/>
      <c r="AJ583" s="6"/>
      <c r="AU583" s="6"/>
    </row>
    <row r="584" spans="31:47" ht="12.75" customHeight="1" x14ac:dyDescent="0.3">
      <c r="AE584" s="6"/>
      <c r="AJ584" s="6"/>
      <c r="AU584" s="6"/>
    </row>
    <row r="585" spans="31:47" ht="12.75" customHeight="1" x14ac:dyDescent="0.3">
      <c r="AE585" s="6"/>
      <c r="AJ585" s="6"/>
      <c r="AU585" s="6"/>
    </row>
    <row r="586" spans="31:47" ht="12.75" customHeight="1" x14ac:dyDescent="0.3">
      <c r="AE586" s="6"/>
      <c r="AJ586" s="6"/>
      <c r="AU586" s="6"/>
    </row>
    <row r="587" spans="31:47" ht="12.75" customHeight="1" x14ac:dyDescent="0.3">
      <c r="AE587" s="6"/>
      <c r="AJ587" s="6"/>
      <c r="AU587" s="6"/>
    </row>
    <row r="588" spans="31:47" ht="12.75" customHeight="1" x14ac:dyDescent="0.3">
      <c r="AE588" s="6"/>
      <c r="AJ588" s="6"/>
      <c r="AU588" s="6"/>
    </row>
    <row r="589" spans="31:47" ht="12.75" customHeight="1" x14ac:dyDescent="0.3">
      <c r="AE589" s="6"/>
      <c r="AJ589" s="6"/>
      <c r="AU589" s="6"/>
    </row>
    <row r="590" spans="31:47" ht="12.75" customHeight="1" x14ac:dyDescent="0.3">
      <c r="AE590" s="6"/>
      <c r="AJ590" s="6"/>
      <c r="AU590" s="6"/>
    </row>
    <row r="591" spans="31:47" ht="12.75" customHeight="1" x14ac:dyDescent="0.3">
      <c r="AE591" s="6"/>
      <c r="AJ591" s="6"/>
      <c r="AU591" s="6"/>
    </row>
    <row r="592" spans="31:47" ht="12.75" customHeight="1" x14ac:dyDescent="0.3">
      <c r="AE592" s="6"/>
      <c r="AJ592" s="6"/>
      <c r="AU592" s="6"/>
    </row>
    <row r="593" spans="31:47" ht="12.75" customHeight="1" x14ac:dyDescent="0.3">
      <c r="AE593" s="6"/>
      <c r="AJ593" s="6"/>
      <c r="AU593" s="6"/>
    </row>
    <row r="594" spans="31:47" ht="12.75" customHeight="1" x14ac:dyDescent="0.3">
      <c r="AE594" s="6"/>
      <c r="AJ594" s="6"/>
      <c r="AU594" s="6"/>
    </row>
    <row r="595" spans="31:47" ht="12.75" customHeight="1" x14ac:dyDescent="0.3">
      <c r="AE595" s="6"/>
      <c r="AJ595" s="6"/>
      <c r="AU595" s="6"/>
    </row>
    <row r="596" spans="31:47" ht="12.75" customHeight="1" x14ac:dyDescent="0.3">
      <c r="AE596" s="6"/>
      <c r="AJ596" s="6"/>
      <c r="AU596" s="6"/>
    </row>
    <row r="597" spans="31:47" ht="12.75" customHeight="1" x14ac:dyDescent="0.3">
      <c r="AE597" s="6"/>
      <c r="AJ597" s="6"/>
      <c r="AU597" s="6"/>
    </row>
    <row r="598" spans="31:47" ht="12.75" customHeight="1" x14ac:dyDescent="0.3">
      <c r="AE598" s="6"/>
      <c r="AJ598" s="6"/>
      <c r="AU598" s="6"/>
    </row>
    <row r="599" spans="31:47" ht="12.75" customHeight="1" x14ac:dyDescent="0.3">
      <c r="AE599" s="6"/>
      <c r="AJ599" s="6"/>
      <c r="AU599" s="6"/>
    </row>
    <row r="600" spans="31:47" ht="12.75" customHeight="1" x14ac:dyDescent="0.3">
      <c r="AE600" s="6"/>
      <c r="AJ600" s="6"/>
      <c r="AU600" s="6"/>
    </row>
    <row r="601" spans="31:47" ht="12.75" customHeight="1" x14ac:dyDescent="0.3">
      <c r="AE601" s="6"/>
      <c r="AJ601" s="6"/>
      <c r="AU601" s="6"/>
    </row>
    <row r="602" spans="31:47" ht="12.75" customHeight="1" x14ac:dyDescent="0.3">
      <c r="AE602" s="6"/>
      <c r="AJ602" s="6"/>
      <c r="AU602" s="6"/>
    </row>
    <row r="603" spans="31:47" ht="12.75" customHeight="1" x14ac:dyDescent="0.3">
      <c r="AE603" s="6"/>
      <c r="AJ603" s="6"/>
      <c r="AU603" s="6"/>
    </row>
    <row r="604" spans="31:47" ht="12.75" customHeight="1" x14ac:dyDescent="0.3">
      <c r="AE604" s="6"/>
      <c r="AJ604" s="6"/>
      <c r="AU604" s="6"/>
    </row>
    <row r="605" spans="31:47" ht="12.75" customHeight="1" x14ac:dyDescent="0.3">
      <c r="AE605" s="6"/>
      <c r="AJ605" s="6"/>
      <c r="AU605" s="6"/>
    </row>
    <row r="606" spans="31:47" ht="12.75" customHeight="1" x14ac:dyDescent="0.3">
      <c r="AE606" s="6"/>
      <c r="AJ606" s="6"/>
      <c r="AU606" s="6"/>
    </row>
    <row r="607" spans="31:47" ht="12.75" customHeight="1" x14ac:dyDescent="0.3">
      <c r="AE607" s="6"/>
      <c r="AJ607" s="6"/>
      <c r="AU607" s="6"/>
    </row>
    <row r="608" spans="31:47" ht="12.75" customHeight="1" x14ac:dyDescent="0.3">
      <c r="AE608" s="6"/>
      <c r="AJ608" s="6"/>
      <c r="AU608" s="6"/>
    </row>
    <row r="609" spans="31:47" ht="12.75" customHeight="1" x14ac:dyDescent="0.3">
      <c r="AE609" s="6"/>
      <c r="AJ609" s="6"/>
      <c r="AU609" s="6"/>
    </row>
    <row r="610" spans="31:47" ht="12.75" customHeight="1" x14ac:dyDescent="0.3">
      <c r="AE610" s="6"/>
      <c r="AJ610" s="6"/>
      <c r="AU610" s="6"/>
    </row>
    <row r="611" spans="31:47" ht="12.75" customHeight="1" x14ac:dyDescent="0.3">
      <c r="AE611" s="6"/>
      <c r="AJ611" s="6"/>
      <c r="AU611" s="6"/>
    </row>
    <row r="612" spans="31:47" ht="12.75" customHeight="1" x14ac:dyDescent="0.3">
      <c r="AE612" s="6"/>
      <c r="AJ612" s="6"/>
      <c r="AU612" s="6"/>
    </row>
    <row r="613" spans="31:47" ht="12.75" customHeight="1" x14ac:dyDescent="0.3">
      <c r="AE613" s="6"/>
      <c r="AJ613" s="6"/>
      <c r="AU613" s="6"/>
    </row>
    <row r="614" spans="31:47" ht="12.75" customHeight="1" x14ac:dyDescent="0.3">
      <c r="AE614" s="6"/>
      <c r="AJ614" s="6"/>
      <c r="AU614" s="6"/>
    </row>
    <row r="615" spans="31:47" ht="12.75" customHeight="1" x14ac:dyDescent="0.3">
      <c r="AE615" s="6"/>
      <c r="AJ615" s="6"/>
      <c r="AU615" s="6"/>
    </row>
    <row r="616" spans="31:47" ht="12.75" customHeight="1" x14ac:dyDescent="0.3">
      <c r="AE616" s="6"/>
      <c r="AJ616" s="6"/>
      <c r="AU616" s="6"/>
    </row>
    <row r="617" spans="31:47" ht="12.75" customHeight="1" x14ac:dyDescent="0.3">
      <c r="AE617" s="6"/>
      <c r="AJ617" s="6"/>
      <c r="AU617" s="6"/>
    </row>
    <row r="618" spans="31:47" ht="12.75" customHeight="1" x14ac:dyDescent="0.3">
      <c r="AE618" s="6"/>
      <c r="AJ618" s="6"/>
      <c r="AU618" s="6"/>
    </row>
    <row r="619" spans="31:47" ht="12.75" customHeight="1" x14ac:dyDescent="0.3">
      <c r="AE619" s="6"/>
      <c r="AJ619" s="6"/>
      <c r="AU619" s="6"/>
    </row>
    <row r="620" spans="31:47" ht="12.75" customHeight="1" x14ac:dyDescent="0.3">
      <c r="AE620" s="6"/>
      <c r="AJ620" s="6"/>
      <c r="AU620" s="6"/>
    </row>
    <row r="621" spans="31:47" ht="12.75" customHeight="1" x14ac:dyDescent="0.3">
      <c r="AE621" s="6"/>
      <c r="AJ621" s="6"/>
      <c r="AU621" s="6"/>
    </row>
    <row r="622" spans="31:47" ht="12.75" customHeight="1" x14ac:dyDescent="0.3">
      <c r="AE622" s="6"/>
      <c r="AJ622" s="6"/>
      <c r="AU622" s="6"/>
    </row>
    <row r="623" spans="31:47" ht="12.75" customHeight="1" x14ac:dyDescent="0.3">
      <c r="AE623" s="6"/>
      <c r="AJ623" s="6"/>
      <c r="AU623" s="6"/>
    </row>
    <row r="624" spans="31:47" ht="12.75" customHeight="1" x14ac:dyDescent="0.3">
      <c r="AE624" s="6"/>
      <c r="AJ624" s="6"/>
      <c r="AU624" s="6"/>
    </row>
    <row r="625" spans="31:47" ht="12.75" customHeight="1" x14ac:dyDescent="0.3">
      <c r="AE625" s="6"/>
      <c r="AJ625" s="6"/>
      <c r="AU625" s="6"/>
    </row>
    <row r="626" spans="31:47" ht="12.75" customHeight="1" x14ac:dyDescent="0.3">
      <c r="AE626" s="6"/>
      <c r="AJ626" s="6"/>
      <c r="AU626" s="6"/>
    </row>
    <row r="627" spans="31:47" ht="12.75" customHeight="1" x14ac:dyDescent="0.3">
      <c r="AE627" s="6"/>
      <c r="AJ627" s="6"/>
      <c r="AU627" s="6"/>
    </row>
    <row r="628" spans="31:47" ht="12.75" customHeight="1" x14ac:dyDescent="0.3">
      <c r="AE628" s="6"/>
      <c r="AJ628" s="6"/>
      <c r="AU628" s="6"/>
    </row>
    <row r="629" spans="31:47" ht="12.75" customHeight="1" x14ac:dyDescent="0.3">
      <c r="AE629" s="6"/>
      <c r="AJ629" s="6"/>
      <c r="AU629" s="6"/>
    </row>
    <row r="630" spans="31:47" ht="12.75" customHeight="1" x14ac:dyDescent="0.3">
      <c r="AE630" s="6"/>
      <c r="AJ630" s="6"/>
      <c r="AU630" s="6"/>
    </row>
    <row r="631" spans="31:47" ht="12.75" customHeight="1" x14ac:dyDescent="0.3">
      <c r="AE631" s="6"/>
      <c r="AJ631" s="6"/>
      <c r="AU631" s="6"/>
    </row>
    <row r="632" spans="31:47" ht="12.75" customHeight="1" x14ac:dyDescent="0.3">
      <c r="AE632" s="6"/>
      <c r="AJ632" s="6"/>
      <c r="AU632" s="6"/>
    </row>
    <row r="633" spans="31:47" ht="12.75" customHeight="1" x14ac:dyDescent="0.3">
      <c r="AE633" s="6"/>
      <c r="AJ633" s="6"/>
      <c r="AU633" s="6"/>
    </row>
    <row r="634" spans="31:47" ht="12.75" customHeight="1" x14ac:dyDescent="0.3">
      <c r="AE634" s="6"/>
      <c r="AJ634" s="6"/>
      <c r="AU634" s="6"/>
    </row>
    <row r="635" spans="31:47" ht="12.75" customHeight="1" x14ac:dyDescent="0.3">
      <c r="AE635" s="6"/>
      <c r="AJ635" s="6"/>
      <c r="AU635" s="6"/>
    </row>
    <row r="636" spans="31:47" ht="12.75" customHeight="1" x14ac:dyDescent="0.3">
      <c r="AE636" s="6"/>
      <c r="AJ636" s="6"/>
      <c r="AU636" s="6"/>
    </row>
    <row r="637" spans="31:47" ht="12.75" customHeight="1" x14ac:dyDescent="0.3">
      <c r="AE637" s="6"/>
      <c r="AJ637" s="6"/>
      <c r="AU637" s="6"/>
    </row>
    <row r="638" spans="31:47" ht="12.75" customHeight="1" x14ac:dyDescent="0.3">
      <c r="AE638" s="6"/>
      <c r="AJ638" s="6"/>
      <c r="AU638" s="6"/>
    </row>
    <row r="639" spans="31:47" ht="12.75" customHeight="1" x14ac:dyDescent="0.3">
      <c r="AE639" s="6"/>
      <c r="AJ639" s="6"/>
      <c r="AU639" s="6"/>
    </row>
    <row r="640" spans="31:47" ht="12.75" customHeight="1" x14ac:dyDescent="0.3">
      <c r="AE640" s="6"/>
      <c r="AJ640" s="6"/>
      <c r="AU640" s="6"/>
    </row>
    <row r="641" spans="31:47" ht="12.75" customHeight="1" x14ac:dyDescent="0.3">
      <c r="AE641" s="6"/>
      <c r="AJ641" s="6"/>
      <c r="AU641" s="6"/>
    </row>
    <row r="642" spans="31:47" ht="12.75" customHeight="1" x14ac:dyDescent="0.3">
      <c r="AE642" s="6"/>
      <c r="AJ642" s="6"/>
      <c r="AU642" s="6"/>
    </row>
    <row r="643" spans="31:47" ht="12.75" customHeight="1" x14ac:dyDescent="0.3">
      <c r="AE643" s="6"/>
      <c r="AJ643" s="6"/>
      <c r="AU643" s="6"/>
    </row>
    <row r="644" spans="31:47" ht="12.75" customHeight="1" x14ac:dyDescent="0.3">
      <c r="AE644" s="6"/>
      <c r="AJ644" s="6"/>
      <c r="AU644" s="6"/>
    </row>
    <row r="645" spans="31:47" ht="12.75" customHeight="1" x14ac:dyDescent="0.3">
      <c r="AE645" s="6"/>
      <c r="AJ645" s="6"/>
      <c r="AU645" s="6"/>
    </row>
    <row r="646" spans="31:47" ht="12.75" customHeight="1" x14ac:dyDescent="0.3">
      <c r="AE646" s="6"/>
      <c r="AJ646" s="6"/>
      <c r="AU646" s="6"/>
    </row>
    <row r="647" spans="31:47" ht="12.75" customHeight="1" x14ac:dyDescent="0.3">
      <c r="AE647" s="6"/>
      <c r="AJ647" s="6"/>
      <c r="AU647" s="6"/>
    </row>
    <row r="648" spans="31:47" ht="12.75" customHeight="1" x14ac:dyDescent="0.3">
      <c r="AE648" s="6"/>
      <c r="AJ648" s="6"/>
      <c r="AU648" s="6"/>
    </row>
    <row r="649" spans="31:47" ht="12.75" customHeight="1" x14ac:dyDescent="0.3">
      <c r="AE649" s="6"/>
      <c r="AJ649" s="6"/>
      <c r="AU649" s="6"/>
    </row>
    <row r="650" spans="31:47" ht="12.75" customHeight="1" x14ac:dyDescent="0.3">
      <c r="AE650" s="6"/>
      <c r="AJ650" s="6"/>
      <c r="AU650" s="6"/>
    </row>
    <row r="651" spans="31:47" ht="12.75" customHeight="1" x14ac:dyDescent="0.3">
      <c r="AE651" s="6"/>
      <c r="AJ651" s="6"/>
      <c r="AU651" s="6"/>
    </row>
    <row r="652" spans="31:47" ht="12.75" customHeight="1" x14ac:dyDescent="0.3">
      <c r="AE652" s="6"/>
      <c r="AJ652" s="6"/>
      <c r="AU652" s="6"/>
    </row>
    <row r="653" spans="31:47" ht="12.75" customHeight="1" x14ac:dyDescent="0.3">
      <c r="AE653" s="6"/>
      <c r="AJ653" s="6"/>
      <c r="AU653" s="6"/>
    </row>
    <row r="654" spans="31:47" ht="12.75" customHeight="1" x14ac:dyDescent="0.3">
      <c r="AE654" s="6"/>
      <c r="AJ654" s="6"/>
      <c r="AU654" s="6"/>
    </row>
    <row r="655" spans="31:47" ht="12.75" customHeight="1" x14ac:dyDescent="0.3">
      <c r="AE655" s="6"/>
      <c r="AJ655" s="6"/>
      <c r="AU655" s="6"/>
    </row>
    <row r="656" spans="31:47" ht="12.75" customHeight="1" x14ac:dyDescent="0.3">
      <c r="AE656" s="6"/>
      <c r="AJ656" s="6"/>
      <c r="AU656" s="6"/>
    </row>
    <row r="657" spans="31:47" ht="12.75" customHeight="1" x14ac:dyDescent="0.3">
      <c r="AE657" s="6"/>
      <c r="AJ657" s="6"/>
      <c r="AU657" s="6"/>
    </row>
    <row r="658" spans="31:47" ht="12.75" customHeight="1" x14ac:dyDescent="0.3">
      <c r="AE658" s="6"/>
      <c r="AJ658" s="6"/>
      <c r="AU658" s="6"/>
    </row>
    <row r="659" spans="31:47" ht="12.75" customHeight="1" x14ac:dyDescent="0.3">
      <c r="AE659" s="6"/>
      <c r="AJ659" s="6"/>
      <c r="AU659" s="6"/>
    </row>
    <row r="660" spans="31:47" ht="12.75" customHeight="1" x14ac:dyDescent="0.3">
      <c r="AE660" s="6"/>
      <c r="AJ660" s="6"/>
      <c r="AU660" s="6"/>
    </row>
    <row r="661" spans="31:47" ht="12.75" customHeight="1" x14ac:dyDescent="0.3">
      <c r="AE661" s="6"/>
      <c r="AJ661" s="6"/>
      <c r="AU661" s="6"/>
    </row>
    <row r="662" spans="31:47" ht="12.75" customHeight="1" x14ac:dyDescent="0.3">
      <c r="AE662" s="6"/>
      <c r="AJ662" s="6"/>
      <c r="AU662" s="6"/>
    </row>
    <row r="663" spans="31:47" ht="12.75" customHeight="1" x14ac:dyDescent="0.3">
      <c r="AE663" s="6"/>
      <c r="AJ663" s="6"/>
      <c r="AU663" s="6"/>
    </row>
    <row r="664" spans="31:47" ht="12.75" customHeight="1" x14ac:dyDescent="0.3">
      <c r="AE664" s="6"/>
      <c r="AJ664" s="6"/>
      <c r="AU664" s="6"/>
    </row>
    <row r="665" spans="31:47" ht="12.75" customHeight="1" x14ac:dyDescent="0.3">
      <c r="AE665" s="6"/>
      <c r="AJ665" s="6"/>
      <c r="AU665" s="6"/>
    </row>
    <row r="666" spans="31:47" ht="12.75" customHeight="1" x14ac:dyDescent="0.3">
      <c r="AE666" s="6"/>
      <c r="AJ666" s="6"/>
      <c r="AU666" s="6"/>
    </row>
    <row r="667" spans="31:47" ht="12.75" customHeight="1" x14ac:dyDescent="0.3">
      <c r="AE667" s="6"/>
      <c r="AJ667" s="6"/>
      <c r="AU667" s="6"/>
    </row>
    <row r="668" spans="31:47" ht="12.75" customHeight="1" x14ac:dyDescent="0.3">
      <c r="AE668" s="6"/>
      <c r="AJ668" s="6"/>
      <c r="AU668" s="6"/>
    </row>
    <row r="669" spans="31:47" ht="12.75" customHeight="1" x14ac:dyDescent="0.3">
      <c r="AE669" s="6"/>
      <c r="AJ669" s="6"/>
      <c r="AU669" s="6"/>
    </row>
    <row r="670" spans="31:47" ht="12.75" customHeight="1" x14ac:dyDescent="0.3">
      <c r="AE670" s="6"/>
      <c r="AJ670" s="6"/>
      <c r="AU670" s="6"/>
    </row>
    <row r="671" spans="31:47" ht="12.75" customHeight="1" x14ac:dyDescent="0.3">
      <c r="AE671" s="6"/>
      <c r="AJ671" s="6"/>
      <c r="AU671" s="6"/>
    </row>
    <row r="672" spans="31:47" ht="12.75" customHeight="1" x14ac:dyDescent="0.3">
      <c r="AE672" s="6"/>
      <c r="AJ672" s="6"/>
      <c r="AU672" s="6"/>
    </row>
    <row r="673" spans="31:47" ht="12.75" customHeight="1" x14ac:dyDescent="0.3">
      <c r="AE673" s="6"/>
      <c r="AJ673" s="6"/>
      <c r="AU673" s="6"/>
    </row>
    <row r="674" spans="31:47" ht="12.75" customHeight="1" x14ac:dyDescent="0.3">
      <c r="AE674" s="6"/>
      <c r="AJ674" s="6"/>
      <c r="AU674" s="6"/>
    </row>
    <row r="675" spans="31:47" ht="12.75" customHeight="1" x14ac:dyDescent="0.3">
      <c r="AE675" s="6"/>
      <c r="AJ675" s="6"/>
      <c r="AU675" s="6"/>
    </row>
    <row r="676" spans="31:47" ht="12.75" customHeight="1" x14ac:dyDescent="0.3">
      <c r="AE676" s="6"/>
      <c r="AJ676" s="6"/>
      <c r="AU676" s="6"/>
    </row>
    <row r="677" spans="31:47" ht="12.75" customHeight="1" x14ac:dyDescent="0.3">
      <c r="AE677" s="6"/>
      <c r="AJ677" s="6"/>
      <c r="AU677" s="6"/>
    </row>
    <row r="678" spans="31:47" ht="12.75" customHeight="1" x14ac:dyDescent="0.3">
      <c r="AE678" s="6"/>
      <c r="AJ678" s="6"/>
      <c r="AU678" s="6"/>
    </row>
    <row r="679" spans="31:47" ht="12.75" customHeight="1" x14ac:dyDescent="0.3">
      <c r="AE679" s="6"/>
      <c r="AJ679" s="6"/>
      <c r="AU679" s="6"/>
    </row>
    <row r="680" spans="31:47" ht="12.75" customHeight="1" x14ac:dyDescent="0.3">
      <c r="AE680" s="6"/>
      <c r="AJ680" s="6"/>
      <c r="AU680" s="6"/>
    </row>
    <row r="681" spans="31:47" ht="12.75" customHeight="1" x14ac:dyDescent="0.3">
      <c r="AE681" s="6"/>
      <c r="AJ681" s="6"/>
      <c r="AU681" s="6"/>
    </row>
    <row r="682" spans="31:47" ht="12.75" customHeight="1" x14ac:dyDescent="0.3">
      <c r="AE682" s="6"/>
      <c r="AJ682" s="6"/>
      <c r="AU682" s="6"/>
    </row>
    <row r="683" spans="31:47" ht="12.75" customHeight="1" x14ac:dyDescent="0.3">
      <c r="AE683" s="6"/>
      <c r="AJ683" s="6"/>
      <c r="AU683" s="6"/>
    </row>
    <row r="684" spans="31:47" ht="12.75" customHeight="1" x14ac:dyDescent="0.3">
      <c r="AE684" s="6"/>
      <c r="AJ684" s="6"/>
      <c r="AU684" s="6"/>
    </row>
    <row r="685" spans="31:47" ht="12.75" customHeight="1" x14ac:dyDescent="0.3">
      <c r="AE685" s="6"/>
      <c r="AJ685" s="6"/>
      <c r="AU685" s="6"/>
    </row>
    <row r="686" spans="31:47" ht="12.75" customHeight="1" x14ac:dyDescent="0.3">
      <c r="AE686" s="6"/>
      <c r="AJ686" s="6"/>
      <c r="AU686" s="6"/>
    </row>
    <row r="687" spans="31:47" ht="12.75" customHeight="1" x14ac:dyDescent="0.3">
      <c r="AE687" s="6"/>
      <c r="AJ687" s="6"/>
      <c r="AU687" s="6"/>
    </row>
    <row r="688" spans="31:47" ht="12.75" customHeight="1" x14ac:dyDescent="0.3">
      <c r="AE688" s="6"/>
      <c r="AJ688" s="6"/>
      <c r="AU688" s="6"/>
    </row>
    <row r="689" spans="31:47" ht="12.75" customHeight="1" x14ac:dyDescent="0.3">
      <c r="AE689" s="6"/>
      <c r="AJ689" s="6"/>
      <c r="AU689" s="6"/>
    </row>
    <row r="690" spans="31:47" ht="12.75" customHeight="1" x14ac:dyDescent="0.3">
      <c r="AE690" s="6"/>
      <c r="AJ690" s="6"/>
      <c r="AU690" s="6"/>
    </row>
    <row r="691" spans="31:47" ht="12.75" customHeight="1" x14ac:dyDescent="0.3">
      <c r="AE691" s="6"/>
      <c r="AJ691" s="6"/>
      <c r="AU691" s="6"/>
    </row>
    <row r="692" spans="31:47" ht="12.75" customHeight="1" x14ac:dyDescent="0.3">
      <c r="AE692" s="6"/>
      <c r="AJ692" s="6"/>
      <c r="AU692" s="6"/>
    </row>
    <row r="693" spans="31:47" ht="12.75" customHeight="1" x14ac:dyDescent="0.3">
      <c r="AE693" s="6"/>
      <c r="AJ693" s="6"/>
      <c r="AU693" s="6"/>
    </row>
    <row r="694" spans="31:47" ht="12.75" customHeight="1" x14ac:dyDescent="0.3">
      <c r="AE694" s="6"/>
      <c r="AJ694" s="6"/>
      <c r="AU694" s="6"/>
    </row>
    <row r="695" spans="31:47" ht="12.75" customHeight="1" x14ac:dyDescent="0.3">
      <c r="AE695" s="6"/>
      <c r="AJ695" s="6"/>
      <c r="AU695" s="6"/>
    </row>
    <row r="696" spans="31:47" ht="12.75" customHeight="1" x14ac:dyDescent="0.3">
      <c r="AE696" s="6"/>
      <c r="AJ696" s="6"/>
      <c r="AU696" s="6"/>
    </row>
    <row r="697" spans="31:47" ht="12.75" customHeight="1" x14ac:dyDescent="0.3">
      <c r="AE697" s="6"/>
      <c r="AJ697" s="6"/>
      <c r="AU697" s="6"/>
    </row>
    <row r="698" spans="31:47" ht="12.75" customHeight="1" x14ac:dyDescent="0.3">
      <c r="AE698" s="6"/>
      <c r="AJ698" s="6"/>
      <c r="AU698" s="6"/>
    </row>
    <row r="699" spans="31:47" ht="12.75" customHeight="1" x14ac:dyDescent="0.3">
      <c r="AE699" s="6"/>
      <c r="AJ699" s="6"/>
      <c r="AU699" s="6"/>
    </row>
    <row r="700" spans="31:47" ht="12.75" customHeight="1" x14ac:dyDescent="0.3">
      <c r="AE700" s="6"/>
      <c r="AJ700" s="6"/>
      <c r="AU700" s="6"/>
    </row>
    <row r="701" spans="31:47" ht="12.75" customHeight="1" x14ac:dyDescent="0.3">
      <c r="AE701" s="6"/>
      <c r="AJ701" s="6"/>
      <c r="AU701" s="6"/>
    </row>
    <row r="702" spans="31:47" ht="12.75" customHeight="1" x14ac:dyDescent="0.3">
      <c r="AE702" s="6"/>
      <c r="AJ702" s="6"/>
      <c r="AU702" s="6"/>
    </row>
    <row r="703" spans="31:47" ht="12.75" customHeight="1" x14ac:dyDescent="0.3">
      <c r="AE703" s="6"/>
      <c r="AJ703" s="6"/>
      <c r="AU703" s="6"/>
    </row>
    <row r="704" spans="31:47" ht="12.75" customHeight="1" x14ac:dyDescent="0.3">
      <c r="AE704" s="6"/>
      <c r="AJ704" s="6"/>
      <c r="AU704" s="6"/>
    </row>
    <row r="705" spans="31:47" ht="12.75" customHeight="1" x14ac:dyDescent="0.3">
      <c r="AE705" s="6"/>
      <c r="AJ705" s="6"/>
      <c r="AU705" s="6"/>
    </row>
    <row r="706" spans="31:47" ht="12.75" customHeight="1" x14ac:dyDescent="0.3">
      <c r="AE706" s="6"/>
      <c r="AJ706" s="6"/>
      <c r="AU706" s="6"/>
    </row>
    <row r="707" spans="31:47" ht="12.75" customHeight="1" x14ac:dyDescent="0.3">
      <c r="AE707" s="6"/>
      <c r="AJ707" s="6"/>
      <c r="AU707" s="6"/>
    </row>
    <row r="708" spans="31:47" ht="12.75" customHeight="1" x14ac:dyDescent="0.3">
      <c r="AE708" s="6"/>
      <c r="AJ708" s="6"/>
      <c r="AU708" s="6"/>
    </row>
    <row r="709" spans="31:47" ht="12.75" customHeight="1" x14ac:dyDescent="0.3">
      <c r="AE709" s="6"/>
      <c r="AJ709" s="6"/>
      <c r="AU709" s="6"/>
    </row>
    <row r="710" spans="31:47" ht="12.75" customHeight="1" x14ac:dyDescent="0.3">
      <c r="AE710" s="6"/>
      <c r="AJ710" s="6"/>
      <c r="AU710" s="6"/>
    </row>
    <row r="711" spans="31:47" ht="12.75" customHeight="1" x14ac:dyDescent="0.3">
      <c r="AE711" s="6"/>
      <c r="AJ711" s="6"/>
      <c r="AU711" s="6"/>
    </row>
    <row r="712" spans="31:47" ht="12.75" customHeight="1" x14ac:dyDescent="0.3">
      <c r="AE712" s="6"/>
      <c r="AJ712" s="6"/>
      <c r="AU712" s="6"/>
    </row>
    <row r="713" spans="31:47" ht="12.75" customHeight="1" x14ac:dyDescent="0.3">
      <c r="AE713" s="6"/>
      <c r="AJ713" s="6"/>
      <c r="AU713" s="6"/>
    </row>
    <row r="714" spans="31:47" ht="12.75" customHeight="1" x14ac:dyDescent="0.3">
      <c r="AE714" s="6"/>
      <c r="AJ714" s="6"/>
      <c r="AU714" s="6"/>
    </row>
    <row r="715" spans="31:47" ht="12.75" customHeight="1" x14ac:dyDescent="0.3">
      <c r="AE715" s="6"/>
      <c r="AJ715" s="6"/>
      <c r="AU715" s="6"/>
    </row>
    <row r="716" spans="31:47" ht="12.75" customHeight="1" x14ac:dyDescent="0.3">
      <c r="AE716" s="6"/>
      <c r="AJ716" s="6"/>
      <c r="AU716" s="6"/>
    </row>
    <row r="717" spans="31:47" ht="12.75" customHeight="1" x14ac:dyDescent="0.3">
      <c r="AE717" s="6"/>
      <c r="AJ717" s="6"/>
      <c r="AU717" s="6"/>
    </row>
    <row r="718" spans="31:47" ht="12.75" customHeight="1" x14ac:dyDescent="0.3">
      <c r="AE718" s="6"/>
      <c r="AJ718" s="6"/>
      <c r="AU718" s="6"/>
    </row>
    <row r="719" spans="31:47" ht="12.75" customHeight="1" x14ac:dyDescent="0.3">
      <c r="AE719" s="6"/>
      <c r="AJ719" s="6"/>
      <c r="AU719" s="6"/>
    </row>
    <row r="720" spans="31:47" ht="12.75" customHeight="1" x14ac:dyDescent="0.3">
      <c r="AE720" s="6"/>
      <c r="AJ720" s="6"/>
      <c r="AU720" s="6"/>
    </row>
    <row r="721" spans="31:47" ht="12.75" customHeight="1" x14ac:dyDescent="0.3">
      <c r="AE721" s="6"/>
      <c r="AJ721" s="6"/>
      <c r="AU721" s="6"/>
    </row>
    <row r="722" spans="31:47" ht="12.75" customHeight="1" x14ac:dyDescent="0.3">
      <c r="AE722" s="6"/>
      <c r="AJ722" s="6"/>
      <c r="AU722" s="6"/>
    </row>
    <row r="723" spans="31:47" ht="12.75" customHeight="1" x14ac:dyDescent="0.3">
      <c r="AE723" s="6"/>
      <c r="AJ723" s="6"/>
      <c r="AU723" s="6"/>
    </row>
    <row r="724" spans="31:47" ht="12.75" customHeight="1" x14ac:dyDescent="0.3">
      <c r="AE724" s="6"/>
      <c r="AJ724" s="6"/>
      <c r="AU724" s="6"/>
    </row>
    <row r="725" spans="31:47" ht="12.75" customHeight="1" x14ac:dyDescent="0.3">
      <c r="AE725" s="6"/>
      <c r="AJ725" s="6"/>
      <c r="AU725" s="6"/>
    </row>
    <row r="726" spans="31:47" ht="12.75" customHeight="1" x14ac:dyDescent="0.3">
      <c r="AE726" s="6"/>
      <c r="AJ726" s="6"/>
      <c r="AU726" s="6"/>
    </row>
    <row r="727" spans="31:47" ht="12.75" customHeight="1" x14ac:dyDescent="0.3">
      <c r="AE727" s="6"/>
      <c r="AJ727" s="6"/>
      <c r="AU727" s="6"/>
    </row>
    <row r="728" spans="31:47" ht="12.75" customHeight="1" x14ac:dyDescent="0.3">
      <c r="AE728" s="6"/>
      <c r="AJ728" s="6"/>
      <c r="AU728" s="6"/>
    </row>
    <row r="729" spans="31:47" ht="12.75" customHeight="1" x14ac:dyDescent="0.3">
      <c r="AE729" s="6"/>
      <c r="AJ729" s="6"/>
      <c r="AU729" s="6"/>
    </row>
    <row r="730" spans="31:47" ht="12.75" customHeight="1" x14ac:dyDescent="0.3">
      <c r="AE730" s="6"/>
      <c r="AJ730" s="6"/>
      <c r="AU730" s="6"/>
    </row>
    <row r="731" spans="31:47" ht="12.75" customHeight="1" x14ac:dyDescent="0.3">
      <c r="AE731" s="6"/>
      <c r="AJ731" s="6"/>
      <c r="AU731" s="6"/>
    </row>
    <row r="732" spans="31:47" ht="12.75" customHeight="1" x14ac:dyDescent="0.3">
      <c r="AE732" s="6"/>
      <c r="AJ732" s="6"/>
      <c r="AU732" s="6"/>
    </row>
    <row r="733" spans="31:47" ht="12.75" customHeight="1" x14ac:dyDescent="0.3">
      <c r="AE733" s="6"/>
      <c r="AJ733" s="6"/>
      <c r="AU733" s="6"/>
    </row>
    <row r="734" spans="31:47" ht="12.75" customHeight="1" x14ac:dyDescent="0.3">
      <c r="AE734" s="6"/>
      <c r="AJ734" s="6"/>
      <c r="AU734" s="6"/>
    </row>
    <row r="735" spans="31:47" ht="12.75" customHeight="1" x14ac:dyDescent="0.3">
      <c r="AE735" s="6"/>
      <c r="AJ735" s="6"/>
      <c r="AU735" s="6"/>
    </row>
    <row r="736" spans="31:47" ht="12.75" customHeight="1" x14ac:dyDescent="0.3">
      <c r="AE736" s="6"/>
      <c r="AJ736" s="6"/>
      <c r="AU736" s="6"/>
    </row>
    <row r="737" spans="31:47" ht="12.75" customHeight="1" x14ac:dyDescent="0.3">
      <c r="AE737" s="6"/>
      <c r="AJ737" s="6"/>
      <c r="AU737" s="6"/>
    </row>
    <row r="738" spans="31:47" ht="12.75" customHeight="1" x14ac:dyDescent="0.3">
      <c r="AE738" s="6"/>
      <c r="AJ738" s="6"/>
      <c r="AU738" s="6"/>
    </row>
    <row r="739" spans="31:47" ht="12.75" customHeight="1" x14ac:dyDescent="0.3">
      <c r="AE739" s="6"/>
      <c r="AJ739" s="6"/>
      <c r="AU739" s="6"/>
    </row>
    <row r="740" spans="31:47" ht="12.75" customHeight="1" x14ac:dyDescent="0.3">
      <c r="AE740" s="6"/>
      <c r="AJ740" s="6"/>
      <c r="AU740" s="6"/>
    </row>
    <row r="741" spans="31:47" ht="12.75" customHeight="1" x14ac:dyDescent="0.3">
      <c r="AE741" s="6"/>
      <c r="AJ741" s="6"/>
      <c r="AU741" s="6"/>
    </row>
    <row r="742" spans="31:47" ht="12.75" customHeight="1" x14ac:dyDescent="0.3">
      <c r="AE742" s="6"/>
      <c r="AJ742" s="6"/>
      <c r="AU742" s="6"/>
    </row>
    <row r="743" spans="31:47" ht="12.75" customHeight="1" x14ac:dyDescent="0.3">
      <c r="AE743" s="6"/>
      <c r="AJ743" s="6"/>
      <c r="AU743" s="6"/>
    </row>
    <row r="744" spans="31:47" ht="12.75" customHeight="1" x14ac:dyDescent="0.3">
      <c r="AE744" s="6"/>
      <c r="AJ744" s="6"/>
      <c r="AU744" s="6"/>
    </row>
    <row r="745" spans="31:47" ht="12.75" customHeight="1" x14ac:dyDescent="0.3">
      <c r="AE745" s="6"/>
      <c r="AJ745" s="6"/>
      <c r="AU745" s="6"/>
    </row>
    <row r="746" spans="31:47" ht="12.75" customHeight="1" x14ac:dyDescent="0.3">
      <c r="AE746" s="6"/>
      <c r="AJ746" s="6"/>
      <c r="AU746" s="6"/>
    </row>
    <row r="747" spans="31:47" ht="12.75" customHeight="1" x14ac:dyDescent="0.3">
      <c r="AE747" s="6"/>
      <c r="AJ747" s="6"/>
      <c r="AU747" s="6"/>
    </row>
    <row r="748" spans="31:47" ht="12.75" customHeight="1" x14ac:dyDescent="0.3">
      <c r="AE748" s="6"/>
      <c r="AJ748" s="6"/>
      <c r="AU748" s="6"/>
    </row>
    <row r="749" spans="31:47" ht="12.75" customHeight="1" x14ac:dyDescent="0.3">
      <c r="AE749" s="6"/>
      <c r="AJ749" s="6"/>
      <c r="AU749" s="6"/>
    </row>
    <row r="750" spans="31:47" ht="12.75" customHeight="1" x14ac:dyDescent="0.3">
      <c r="AE750" s="6"/>
      <c r="AJ750" s="6"/>
      <c r="AU750" s="6"/>
    </row>
    <row r="751" spans="31:47" ht="12.75" customHeight="1" x14ac:dyDescent="0.3">
      <c r="AE751" s="6"/>
      <c r="AJ751" s="6"/>
      <c r="AU751" s="6"/>
    </row>
    <row r="752" spans="31:47" ht="12.75" customHeight="1" x14ac:dyDescent="0.3">
      <c r="AE752" s="6"/>
      <c r="AJ752" s="6"/>
      <c r="AU752" s="6"/>
    </row>
    <row r="753" spans="31:47" ht="12.75" customHeight="1" x14ac:dyDescent="0.3">
      <c r="AE753" s="6"/>
      <c r="AJ753" s="6"/>
      <c r="AU753" s="6"/>
    </row>
    <row r="754" spans="31:47" ht="12.75" customHeight="1" x14ac:dyDescent="0.3">
      <c r="AE754" s="6"/>
      <c r="AJ754" s="6"/>
      <c r="AU754" s="6"/>
    </row>
    <row r="755" spans="31:47" ht="12.75" customHeight="1" x14ac:dyDescent="0.3">
      <c r="AE755" s="6"/>
      <c r="AJ755" s="6"/>
      <c r="AU755" s="6"/>
    </row>
    <row r="756" spans="31:47" ht="12.75" customHeight="1" x14ac:dyDescent="0.3">
      <c r="AE756" s="6"/>
      <c r="AJ756" s="6"/>
      <c r="AU756" s="6"/>
    </row>
    <row r="757" spans="31:47" ht="12.75" customHeight="1" x14ac:dyDescent="0.3">
      <c r="AE757" s="6"/>
      <c r="AJ757" s="6"/>
      <c r="AU757" s="6"/>
    </row>
    <row r="758" spans="31:47" ht="12.75" customHeight="1" x14ac:dyDescent="0.3">
      <c r="AE758" s="6"/>
      <c r="AJ758" s="6"/>
      <c r="AU758" s="6"/>
    </row>
    <row r="759" spans="31:47" ht="12.75" customHeight="1" x14ac:dyDescent="0.3">
      <c r="AE759" s="6"/>
      <c r="AJ759" s="6"/>
      <c r="AU759" s="6"/>
    </row>
    <row r="760" spans="31:47" ht="12.75" customHeight="1" x14ac:dyDescent="0.3">
      <c r="AE760" s="6"/>
      <c r="AJ760" s="6"/>
      <c r="AU760" s="6"/>
    </row>
    <row r="761" spans="31:47" ht="12.75" customHeight="1" x14ac:dyDescent="0.3">
      <c r="AE761" s="6"/>
      <c r="AJ761" s="6"/>
      <c r="AU761" s="6"/>
    </row>
    <row r="762" spans="31:47" ht="12.75" customHeight="1" x14ac:dyDescent="0.3">
      <c r="AE762" s="6"/>
      <c r="AJ762" s="6"/>
      <c r="AU762" s="6"/>
    </row>
    <row r="763" spans="31:47" ht="12.75" customHeight="1" x14ac:dyDescent="0.3">
      <c r="AE763" s="6"/>
      <c r="AJ763" s="6"/>
      <c r="AU763" s="6"/>
    </row>
    <row r="764" spans="31:47" ht="12.75" customHeight="1" x14ac:dyDescent="0.3">
      <c r="AE764" s="6"/>
      <c r="AJ764" s="6"/>
      <c r="AU764" s="6"/>
    </row>
    <row r="765" spans="31:47" ht="12.75" customHeight="1" x14ac:dyDescent="0.3">
      <c r="AE765" s="6"/>
      <c r="AJ765" s="6"/>
      <c r="AU765" s="6"/>
    </row>
    <row r="766" spans="31:47" ht="12.75" customHeight="1" x14ac:dyDescent="0.3">
      <c r="AE766" s="6"/>
      <c r="AJ766" s="6"/>
      <c r="AU766" s="6"/>
    </row>
    <row r="767" spans="31:47" ht="12.75" customHeight="1" x14ac:dyDescent="0.3">
      <c r="AE767" s="6"/>
      <c r="AJ767" s="6"/>
      <c r="AU767" s="6"/>
    </row>
    <row r="768" spans="31:47" ht="12.75" customHeight="1" x14ac:dyDescent="0.3">
      <c r="AE768" s="6"/>
      <c r="AJ768" s="6"/>
      <c r="AU768" s="6"/>
    </row>
    <row r="769" spans="31:47" ht="12.75" customHeight="1" x14ac:dyDescent="0.3">
      <c r="AE769" s="6"/>
      <c r="AJ769" s="6"/>
      <c r="AU769" s="6"/>
    </row>
    <row r="770" spans="31:47" ht="12.75" customHeight="1" x14ac:dyDescent="0.3">
      <c r="AE770" s="6"/>
      <c r="AJ770" s="6"/>
      <c r="AU770" s="6"/>
    </row>
    <row r="771" spans="31:47" ht="12.75" customHeight="1" x14ac:dyDescent="0.3">
      <c r="AE771" s="6"/>
      <c r="AJ771" s="6"/>
      <c r="AU771" s="6"/>
    </row>
    <row r="772" spans="31:47" ht="12.75" customHeight="1" x14ac:dyDescent="0.3">
      <c r="AE772" s="6"/>
      <c r="AJ772" s="6"/>
      <c r="AU772" s="6"/>
    </row>
    <row r="773" spans="31:47" ht="12.75" customHeight="1" x14ac:dyDescent="0.3">
      <c r="AE773" s="6"/>
      <c r="AJ773" s="6"/>
      <c r="AU773" s="6"/>
    </row>
    <row r="774" spans="31:47" ht="12.75" customHeight="1" x14ac:dyDescent="0.3">
      <c r="AE774" s="6"/>
      <c r="AJ774" s="6"/>
      <c r="AU774" s="6"/>
    </row>
    <row r="775" spans="31:47" ht="12.75" customHeight="1" x14ac:dyDescent="0.3">
      <c r="AE775" s="6"/>
      <c r="AJ775" s="6"/>
      <c r="AU775" s="6"/>
    </row>
    <row r="776" spans="31:47" ht="12.75" customHeight="1" x14ac:dyDescent="0.3">
      <c r="AE776" s="6"/>
      <c r="AJ776" s="6"/>
      <c r="AU776" s="6"/>
    </row>
    <row r="777" spans="31:47" ht="12.75" customHeight="1" x14ac:dyDescent="0.3">
      <c r="AE777" s="6"/>
      <c r="AJ777" s="6"/>
      <c r="AU777" s="6"/>
    </row>
    <row r="778" spans="31:47" ht="12.75" customHeight="1" x14ac:dyDescent="0.3">
      <c r="AE778" s="6"/>
      <c r="AJ778" s="6"/>
      <c r="AU778" s="6"/>
    </row>
    <row r="779" spans="31:47" ht="12.75" customHeight="1" x14ac:dyDescent="0.3">
      <c r="AE779" s="6"/>
      <c r="AJ779" s="6"/>
      <c r="AU779" s="6"/>
    </row>
    <row r="780" spans="31:47" ht="12.75" customHeight="1" x14ac:dyDescent="0.3">
      <c r="AE780" s="6"/>
      <c r="AJ780" s="6"/>
      <c r="AU780" s="6"/>
    </row>
    <row r="781" spans="31:47" ht="12.75" customHeight="1" x14ac:dyDescent="0.3">
      <c r="AE781" s="6"/>
      <c r="AJ781" s="6"/>
      <c r="AU781" s="6"/>
    </row>
    <row r="782" spans="31:47" ht="12.75" customHeight="1" x14ac:dyDescent="0.3">
      <c r="AE782" s="6"/>
      <c r="AJ782" s="6"/>
      <c r="AU782" s="6"/>
    </row>
    <row r="783" spans="31:47" ht="12.75" customHeight="1" x14ac:dyDescent="0.3">
      <c r="AE783" s="6"/>
      <c r="AJ783" s="6"/>
      <c r="AU783" s="6"/>
    </row>
    <row r="784" spans="31:47" ht="12.75" customHeight="1" x14ac:dyDescent="0.3">
      <c r="AE784" s="6"/>
      <c r="AJ784" s="6"/>
      <c r="AU784" s="6"/>
    </row>
    <row r="785" spans="31:47" ht="12.75" customHeight="1" x14ac:dyDescent="0.3">
      <c r="AE785" s="6"/>
      <c r="AJ785" s="6"/>
      <c r="AU785" s="6"/>
    </row>
    <row r="786" spans="31:47" ht="12.75" customHeight="1" x14ac:dyDescent="0.3">
      <c r="AE786" s="6"/>
      <c r="AJ786" s="6"/>
      <c r="AU786" s="6"/>
    </row>
    <row r="787" spans="31:47" ht="12.75" customHeight="1" x14ac:dyDescent="0.3">
      <c r="AE787" s="6"/>
      <c r="AJ787" s="6"/>
      <c r="AU787" s="6"/>
    </row>
    <row r="788" spans="31:47" ht="12.75" customHeight="1" x14ac:dyDescent="0.3">
      <c r="AE788" s="6"/>
      <c r="AJ788" s="6"/>
      <c r="AU788" s="6"/>
    </row>
    <row r="789" spans="31:47" ht="12.75" customHeight="1" x14ac:dyDescent="0.3">
      <c r="AE789" s="6"/>
      <c r="AJ789" s="6"/>
      <c r="AU789" s="6"/>
    </row>
    <row r="790" spans="31:47" ht="12.75" customHeight="1" x14ac:dyDescent="0.3">
      <c r="AE790" s="6"/>
      <c r="AJ790" s="6"/>
      <c r="AU790" s="6"/>
    </row>
    <row r="791" spans="31:47" ht="12.75" customHeight="1" x14ac:dyDescent="0.3">
      <c r="AE791" s="6"/>
      <c r="AJ791" s="6"/>
      <c r="AU791" s="6"/>
    </row>
    <row r="792" spans="31:47" ht="12.75" customHeight="1" x14ac:dyDescent="0.3">
      <c r="AE792" s="6"/>
      <c r="AJ792" s="6"/>
      <c r="AU792" s="6"/>
    </row>
    <row r="793" spans="31:47" ht="12.75" customHeight="1" x14ac:dyDescent="0.3">
      <c r="AE793" s="6"/>
      <c r="AJ793" s="6"/>
      <c r="AU793" s="6"/>
    </row>
    <row r="794" spans="31:47" ht="12.75" customHeight="1" x14ac:dyDescent="0.3">
      <c r="AE794" s="6"/>
      <c r="AJ794" s="6"/>
      <c r="AU794" s="6"/>
    </row>
    <row r="795" spans="31:47" ht="12.75" customHeight="1" x14ac:dyDescent="0.3">
      <c r="AE795" s="6"/>
      <c r="AJ795" s="6"/>
      <c r="AU795" s="6"/>
    </row>
    <row r="796" spans="31:47" ht="12.75" customHeight="1" x14ac:dyDescent="0.3">
      <c r="AE796" s="6"/>
      <c r="AJ796" s="6"/>
      <c r="AU796" s="6"/>
    </row>
    <row r="797" spans="31:47" ht="12.75" customHeight="1" x14ac:dyDescent="0.3">
      <c r="AE797" s="6"/>
      <c r="AJ797" s="6"/>
      <c r="AU797" s="6"/>
    </row>
    <row r="798" spans="31:47" ht="12.75" customHeight="1" x14ac:dyDescent="0.3">
      <c r="AE798" s="6"/>
      <c r="AJ798" s="6"/>
      <c r="AU798" s="6"/>
    </row>
    <row r="799" spans="31:47" ht="12.75" customHeight="1" x14ac:dyDescent="0.3">
      <c r="AE799" s="6"/>
      <c r="AJ799" s="6"/>
      <c r="AU799" s="6"/>
    </row>
    <row r="800" spans="31:47" ht="12.75" customHeight="1" x14ac:dyDescent="0.3">
      <c r="AE800" s="6"/>
      <c r="AJ800" s="6"/>
      <c r="AU800" s="6"/>
    </row>
    <row r="801" spans="31:47" ht="12.75" customHeight="1" x14ac:dyDescent="0.3">
      <c r="AE801" s="6"/>
      <c r="AJ801" s="6"/>
      <c r="AU801" s="6"/>
    </row>
    <row r="802" spans="31:47" ht="12.75" customHeight="1" x14ac:dyDescent="0.3">
      <c r="AE802" s="6"/>
      <c r="AJ802" s="6"/>
      <c r="AU802" s="6"/>
    </row>
    <row r="803" spans="31:47" ht="12.75" customHeight="1" x14ac:dyDescent="0.3">
      <c r="AE803" s="6"/>
      <c r="AJ803" s="6"/>
      <c r="AU803" s="6"/>
    </row>
    <row r="804" spans="31:47" ht="12.75" customHeight="1" x14ac:dyDescent="0.3">
      <c r="AE804" s="6"/>
      <c r="AJ804" s="6"/>
      <c r="AU804" s="6"/>
    </row>
    <row r="805" spans="31:47" ht="12.75" customHeight="1" x14ac:dyDescent="0.3">
      <c r="AE805" s="6"/>
      <c r="AJ805" s="6"/>
      <c r="AU805" s="6"/>
    </row>
    <row r="806" spans="31:47" ht="12.75" customHeight="1" x14ac:dyDescent="0.3">
      <c r="AE806" s="6"/>
      <c r="AJ806" s="6"/>
      <c r="AU806" s="6"/>
    </row>
    <row r="807" spans="31:47" ht="12.75" customHeight="1" x14ac:dyDescent="0.3">
      <c r="AE807" s="6"/>
      <c r="AJ807" s="6"/>
      <c r="AU807" s="6"/>
    </row>
    <row r="808" spans="31:47" ht="12.75" customHeight="1" x14ac:dyDescent="0.3">
      <c r="AE808" s="6"/>
      <c r="AJ808" s="6"/>
      <c r="AU808" s="6"/>
    </row>
    <row r="809" spans="31:47" ht="12.75" customHeight="1" x14ac:dyDescent="0.3">
      <c r="AE809" s="6"/>
      <c r="AJ809" s="6"/>
      <c r="AU809" s="6"/>
    </row>
    <row r="810" spans="31:47" ht="12.75" customHeight="1" x14ac:dyDescent="0.3">
      <c r="AE810" s="6"/>
      <c r="AJ810" s="6"/>
      <c r="AU810" s="6"/>
    </row>
    <row r="811" spans="31:47" ht="12.75" customHeight="1" x14ac:dyDescent="0.3">
      <c r="AE811" s="6"/>
      <c r="AJ811" s="6"/>
      <c r="AU811" s="6"/>
    </row>
    <row r="812" spans="31:47" ht="12.75" customHeight="1" x14ac:dyDescent="0.3">
      <c r="AE812" s="6"/>
      <c r="AJ812" s="6"/>
      <c r="AU812" s="6"/>
    </row>
    <row r="813" spans="31:47" ht="12.75" customHeight="1" x14ac:dyDescent="0.3">
      <c r="AE813" s="6"/>
      <c r="AJ813" s="6"/>
      <c r="AU813" s="6"/>
    </row>
    <row r="814" spans="31:47" ht="12.75" customHeight="1" x14ac:dyDescent="0.3">
      <c r="AE814" s="6"/>
      <c r="AJ814" s="6"/>
      <c r="AU814" s="6"/>
    </row>
    <row r="815" spans="31:47" ht="12.75" customHeight="1" x14ac:dyDescent="0.3">
      <c r="AE815" s="6"/>
      <c r="AJ815" s="6"/>
      <c r="AU815" s="6"/>
    </row>
    <row r="816" spans="31:47" ht="12.75" customHeight="1" x14ac:dyDescent="0.3">
      <c r="AE816" s="6"/>
      <c r="AJ816" s="6"/>
      <c r="AU816" s="6"/>
    </row>
    <row r="817" spans="31:47" ht="12.75" customHeight="1" x14ac:dyDescent="0.3">
      <c r="AE817" s="6"/>
      <c r="AJ817" s="6"/>
      <c r="AU817" s="6"/>
    </row>
    <row r="818" spans="31:47" ht="12.75" customHeight="1" x14ac:dyDescent="0.3">
      <c r="AE818" s="6"/>
      <c r="AJ818" s="6"/>
      <c r="AU818" s="6"/>
    </row>
    <row r="819" spans="31:47" ht="12.75" customHeight="1" x14ac:dyDescent="0.3">
      <c r="AE819" s="6"/>
      <c r="AJ819" s="6"/>
      <c r="AU819" s="6"/>
    </row>
    <row r="820" spans="31:47" ht="12.75" customHeight="1" x14ac:dyDescent="0.3">
      <c r="AE820" s="6"/>
      <c r="AJ820" s="6"/>
      <c r="AU820" s="6"/>
    </row>
    <row r="821" spans="31:47" ht="12.75" customHeight="1" x14ac:dyDescent="0.3">
      <c r="AE821" s="6"/>
      <c r="AJ821" s="6"/>
      <c r="AU821" s="6"/>
    </row>
    <row r="822" spans="31:47" ht="12.75" customHeight="1" x14ac:dyDescent="0.3">
      <c r="AE822" s="6"/>
      <c r="AJ822" s="6"/>
      <c r="AU822" s="6"/>
    </row>
    <row r="823" spans="31:47" ht="12.75" customHeight="1" x14ac:dyDescent="0.3">
      <c r="AE823" s="6"/>
      <c r="AJ823" s="6"/>
      <c r="AU823" s="6"/>
    </row>
    <row r="824" spans="31:47" ht="12.75" customHeight="1" x14ac:dyDescent="0.3">
      <c r="AE824" s="6"/>
      <c r="AJ824" s="6"/>
      <c r="AU824" s="6"/>
    </row>
    <row r="825" spans="31:47" ht="12.75" customHeight="1" x14ac:dyDescent="0.3">
      <c r="AE825" s="6"/>
      <c r="AJ825" s="6"/>
      <c r="AU825" s="6"/>
    </row>
    <row r="826" spans="31:47" ht="12.75" customHeight="1" x14ac:dyDescent="0.3">
      <c r="AE826" s="6"/>
      <c r="AJ826" s="6"/>
      <c r="AU826" s="6"/>
    </row>
    <row r="827" spans="31:47" ht="12.75" customHeight="1" x14ac:dyDescent="0.3">
      <c r="AE827" s="6"/>
      <c r="AJ827" s="6"/>
      <c r="AU827" s="6"/>
    </row>
    <row r="828" spans="31:47" ht="12.75" customHeight="1" x14ac:dyDescent="0.3">
      <c r="AE828" s="6"/>
      <c r="AJ828" s="6"/>
      <c r="AU828" s="6"/>
    </row>
    <row r="829" spans="31:47" ht="12.75" customHeight="1" x14ac:dyDescent="0.3">
      <c r="AE829" s="6"/>
      <c r="AJ829" s="6"/>
      <c r="AU829" s="6"/>
    </row>
    <row r="830" spans="31:47" ht="12.75" customHeight="1" x14ac:dyDescent="0.3">
      <c r="AE830" s="6"/>
      <c r="AJ830" s="6"/>
      <c r="AU830" s="6"/>
    </row>
    <row r="831" spans="31:47" ht="12.75" customHeight="1" x14ac:dyDescent="0.3">
      <c r="AE831" s="6"/>
      <c r="AJ831" s="6"/>
      <c r="AU831" s="6"/>
    </row>
    <row r="832" spans="31:47" ht="12.75" customHeight="1" x14ac:dyDescent="0.3">
      <c r="AE832" s="6"/>
      <c r="AJ832" s="6"/>
      <c r="AU832" s="6"/>
    </row>
    <row r="833" spans="31:47" ht="12.75" customHeight="1" x14ac:dyDescent="0.3">
      <c r="AE833" s="6"/>
      <c r="AJ833" s="6"/>
      <c r="AU833" s="6"/>
    </row>
    <row r="834" spans="31:47" ht="12.75" customHeight="1" x14ac:dyDescent="0.3">
      <c r="AE834" s="6"/>
      <c r="AJ834" s="6"/>
      <c r="AU834" s="6"/>
    </row>
    <row r="835" spans="31:47" ht="12.75" customHeight="1" x14ac:dyDescent="0.3">
      <c r="AE835" s="6"/>
      <c r="AJ835" s="6"/>
      <c r="AU835" s="6"/>
    </row>
    <row r="836" spans="31:47" ht="12.75" customHeight="1" x14ac:dyDescent="0.3">
      <c r="AE836" s="6"/>
      <c r="AJ836" s="6"/>
      <c r="AU836" s="6"/>
    </row>
    <row r="837" spans="31:47" ht="12.75" customHeight="1" x14ac:dyDescent="0.3">
      <c r="AE837" s="6"/>
      <c r="AJ837" s="6"/>
      <c r="AU837" s="6"/>
    </row>
    <row r="838" spans="31:47" ht="12.75" customHeight="1" x14ac:dyDescent="0.3">
      <c r="AE838" s="6"/>
      <c r="AJ838" s="6"/>
      <c r="AU838" s="6"/>
    </row>
    <row r="839" spans="31:47" ht="12.75" customHeight="1" x14ac:dyDescent="0.3">
      <c r="AE839" s="6"/>
      <c r="AJ839" s="6"/>
      <c r="AU839" s="6"/>
    </row>
    <row r="840" spans="31:47" ht="12.75" customHeight="1" x14ac:dyDescent="0.3">
      <c r="AE840" s="6"/>
      <c r="AJ840" s="6"/>
      <c r="AU840" s="6"/>
    </row>
    <row r="841" spans="31:47" ht="12.75" customHeight="1" x14ac:dyDescent="0.3">
      <c r="AE841" s="6"/>
      <c r="AJ841" s="6"/>
      <c r="AU841" s="6"/>
    </row>
    <row r="842" spans="31:47" ht="12.75" customHeight="1" x14ac:dyDescent="0.3">
      <c r="AE842" s="6"/>
      <c r="AJ842" s="6"/>
      <c r="AU842" s="6"/>
    </row>
    <row r="843" spans="31:47" ht="12.75" customHeight="1" x14ac:dyDescent="0.3">
      <c r="AE843" s="6"/>
      <c r="AJ843" s="6"/>
      <c r="AU843" s="6"/>
    </row>
    <row r="844" spans="31:47" ht="12.75" customHeight="1" x14ac:dyDescent="0.3">
      <c r="AE844" s="6"/>
      <c r="AJ844" s="6"/>
      <c r="AU844" s="6"/>
    </row>
    <row r="845" spans="31:47" ht="12.75" customHeight="1" x14ac:dyDescent="0.3">
      <c r="AE845" s="6"/>
      <c r="AJ845" s="6"/>
      <c r="AU845" s="6"/>
    </row>
    <row r="846" spans="31:47" ht="12.75" customHeight="1" x14ac:dyDescent="0.3">
      <c r="AE846" s="6"/>
      <c r="AJ846" s="6"/>
      <c r="AU846" s="6"/>
    </row>
    <row r="847" spans="31:47" ht="12.75" customHeight="1" x14ac:dyDescent="0.3">
      <c r="AE847" s="6"/>
      <c r="AJ847" s="6"/>
      <c r="AU847" s="6"/>
    </row>
    <row r="848" spans="31:47" ht="12.75" customHeight="1" x14ac:dyDescent="0.3">
      <c r="AE848" s="6"/>
      <c r="AJ848" s="6"/>
      <c r="AU848" s="6"/>
    </row>
    <row r="849" spans="31:47" ht="12.75" customHeight="1" x14ac:dyDescent="0.3">
      <c r="AE849" s="6"/>
      <c r="AJ849" s="6"/>
      <c r="AU849" s="6"/>
    </row>
    <row r="850" spans="31:47" ht="12.75" customHeight="1" x14ac:dyDescent="0.3">
      <c r="AE850" s="6"/>
      <c r="AJ850" s="6"/>
      <c r="AU850" s="6"/>
    </row>
    <row r="851" spans="31:47" ht="12.75" customHeight="1" x14ac:dyDescent="0.3">
      <c r="AE851" s="6"/>
      <c r="AJ851" s="6"/>
      <c r="AU851" s="6"/>
    </row>
    <row r="852" spans="31:47" ht="12.75" customHeight="1" x14ac:dyDescent="0.3">
      <c r="AE852" s="6"/>
      <c r="AJ852" s="6"/>
      <c r="AU852" s="6"/>
    </row>
    <row r="853" spans="31:47" ht="12.75" customHeight="1" x14ac:dyDescent="0.3">
      <c r="AE853" s="6"/>
      <c r="AJ853" s="6"/>
      <c r="AU853" s="6"/>
    </row>
    <row r="854" spans="31:47" ht="12.75" customHeight="1" x14ac:dyDescent="0.3">
      <c r="AE854" s="6"/>
      <c r="AJ854" s="6"/>
      <c r="AU854" s="6"/>
    </row>
    <row r="855" spans="31:47" ht="12.75" customHeight="1" x14ac:dyDescent="0.3">
      <c r="AE855" s="6"/>
      <c r="AJ855" s="6"/>
      <c r="AU855" s="6"/>
    </row>
    <row r="856" spans="31:47" ht="12.75" customHeight="1" x14ac:dyDescent="0.3">
      <c r="AE856" s="6"/>
      <c r="AJ856" s="6"/>
      <c r="AU856" s="6"/>
    </row>
    <row r="857" spans="31:47" ht="12.75" customHeight="1" x14ac:dyDescent="0.3">
      <c r="AE857" s="6"/>
      <c r="AJ857" s="6"/>
      <c r="AU857" s="6"/>
    </row>
    <row r="858" spans="31:47" ht="12.75" customHeight="1" x14ac:dyDescent="0.3">
      <c r="AE858" s="6"/>
      <c r="AJ858" s="6"/>
      <c r="AU858" s="6"/>
    </row>
    <row r="859" spans="31:47" ht="12.75" customHeight="1" x14ac:dyDescent="0.3">
      <c r="AE859" s="6"/>
      <c r="AJ859" s="6"/>
      <c r="AU859" s="6"/>
    </row>
    <row r="860" spans="31:47" ht="12.75" customHeight="1" x14ac:dyDescent="0.3">
      <c r="AE860" s="6"/>
      <c r="AJ860" s="6"/>
      <c r="AU860" s="6"/>
    </row>
    <row r="861" spans="31:47" ht="12.75" customHeight="1" x14ac:dyDescent="0.3">
      <c r="AE861" s="6"/>
      <c r="AJ861" s="6"/>
      <c r="AU861" s="6"/>
    </row>
    <row r="862" spans="31:47" ht="12.75" customHeight="1" x14ac:dyDescent="0.3">
      <c r="AE862" s="6"/>
      <c r="AJ862" s="6"/>
      <c r="AU862" s="6"/>
    </row>
    <row r="863" spans="31:47" ht="12.75" customHeight="1" x14ac:dyDescent="0.3">
      <c r="AE863" s="6"/>
      <c r="AJ863" s="6"/>
      <c r="AU863" s="6"/>
    </row>
    <row r="864" spans="31:47" ht="12.75" customHeight="1" x14ac:dyDescent="0.3">
      <c r="AE864" s="6"/>
      <c r="AJ864" s="6"/>
      <c r="AU864" s="6"/>
    </row>
    <row r="865" spans="31:47" ht="12.75" customHeight="1" x14ac:dyDescent="0.3">
      <c r="AE865" s="6"/>
      <c r="AJ865" s="6"/>
      <c r="AU865" s="6"/>
    </row>
    <row r="866" spans="31:47" ht="12.75" customHeight="1" x14ac:dyDescent="0.3">
      <c r="AE866" s="6"/>
      <c r="AJ866" s="6"/>
      <c r="AU866" s="6"/>
    </row>
    <row r="867" spans="31:47" ht="12.75" customHeight="1" x14ac:dyDescent="0.3">
      <c r="AE867" s="6"/>
      <c r="AJ867" s="6"/>
      <c r="AU867" s="6"/>
    </row>
    <row r="868" spans="31:47" ht="12.75" customHeight="1" x14ac:dyDescent="0.3">
      <c r="AE868" s="6"/>
      <c r="AJ868" s="6"/>
      <c r="AU868" s="6"/>
    </row>
    <row r="869" spans="31:47" ht="12.75" customHeight="1" x14ac:dyDescent="0.3">
      <c r="AE869" s="6"/>
      <c r="AJ869" s="6"/>
      <c r="AU869" s="6"/>
    </row>
    <row r="870" spans="31:47" ht="12.75" customHeight="1" x14ac:dyDescent="0.3">
      <c r="AE870" s="6"/>
      <c r="AJ870" s="6"/>
      <c r="AU870" s="6"/>
    </row>
    <row r="871" spans="31:47" ht="12.75" customHeight="1" x14ac:dyDescent="0.3">
      <c r="AE871" s="6"/>
      <c r="AJ871" s="6"/>
      <c r="AU871" s="6"/>
    </row>
    <row r="872" spans="31:47" ht="12.75" customHeight="1" x14ac:dyDescent="0.3">
      <c r="AE872" s="6"/>
      <c r="AJ872" s="6"/>
      <c r="AU872" s="6"/>
    </row>
    <row r="873" spans="31:47" ht="12.75" customHeight="1" x14ac:dyDescent="0.3">
      <c r="AE873" s="6"/>
      <c r="AJ873" s="6"/>
      <c r="AU873" s="6"/>
    </row>
    <row r="874" spans="31:47" ht="12.75" customHeight="1" x14ac:dyDescent="0.3">
      <c r="AE874" s="6"/>
      <c r="AJ874" s="6"/>
      <c r="AU874" s="6"/>
    </row>
    <row r="875" spans="31:47" ht="12.75" customHeight="1" x14ac:dyDescent="0.3">
      <c r="AE875" s="6"/>
      <c r="AJ875" s="6"/>
      <c r="AU875" s="6"/>
    </row>
    <row r="876" spans="31:47" ht="12.75" customHeight="1" x14ac:dyDescent="0.3">
      <c r="AE876" s="6"/>
      <c r="AJ876" s="6"/>
      <c r="AU876" s="6"/>
    </row>
    <row r="877" spans="31:47" ht="12.75" customHeight="1" x14ac:dyDescent="0.3">
      <c r="AE877" s="6"/>
      <c r="AJ877" s="6"/>
      <c r="AU877" s="6"/>
    </row>
    <row r="878" spans="31:47" ht="12.75" customHeight="1" x14ac:dyDescent="0.3">
      <c r="AE878" s="6"/>
      <c r="AJ878" s="6"/>
      <c r="AU878" s="6"/>
    </row>
    <row r="879" spans="31:47" ht="12.75" customHeight="1" x14ac:dyDescent="0.3">
      <c r="AE879" s="6"/>
      <c r="AJ879" s="6"/>
      <c r="AU879" s="6"/>
    </row>
    <row r="880" spans="31:47" ht="12.75" customHeight="1" x14ac:dyDescent="0.3">
      <c r="AE880" s="6"/>
      <c r="AJ880" s="6"/>
      <c r="AU880" s="6"/>
    </row>
    <row r="881" spans="31:47" ht="12.75" customHeight="1" x14ac:dyDescent="0.3">
      <c r="AE881" s="6"/>
      <c r="AJ881" s="6"/>
      <c r="AU881" s="6"/>
    </row>
    <row r="882" spans="31:47" ht="12.75" customHeight="1" x14ac:dyDescent="0.3">
      <c r="AE882" s="6"/>
      <c r="AJ882" s="6"/>
      <c r="AU882" s="6"/>
    </row>
    <row r="883" spans="31:47" ht="12.75" customHeight="1" x14ac:dyDescent="0.3">
      <c r="AE883" s="6"/>
      <c r="AJ883" s="6"/>
      <c r="AU883" s="6"/>
    </row>
    <row r="884" spans="31:47" ht="12.75" customHeight="1" x14ac:dyDescent="0.3">
      <c r="AE884" s="6"/>
      <c r="AJ884" s="6"/>
      <c r="AU884" s="6"/>
    </row>
    <row r="885" spans="31:47" ht="12.75" customHeight="1" x14ac:dyDescent="0.3">
      <c r="AE885" s="6"/>
      <c r="AJ885" s="6"/>
      <c r="AU885" s="6"/>
    </row>
    <row r="886" spans="31:47" ht="12.75" customHeight="1" x14ac:dyDescent="0.3">
      <c r="AE886" s="6"/>
      <c r="AJ886" s="6"/>
      <c r="AU886" s="6"/>
    </row>
    <row r="887" spans="31:47" ht="12.75" customHeight="1" x14ac:dyDescent="0.3">
      <c r="AE887" s="6"/>
      <c r="AJ887" s="6"/>
      <c r="AU887" s="6"/>
    </row>
    <row r="888" spans="31:47" ht="12.75" customHeight="1" x14ac:dyDescent="0.3">
      <c r="AE888" s="6"/>
      <c r="AJ888" s="6"/>
      <c r="AU888" s="6"/>
    </row>
    <row r="889" spans="31:47" ht="12.75" customHeight="1" x14ac:dyDescent="0.3">
      <c r="AE889" s="6"/>
      <c r="AJ889" s="6"/>
      <c r="AU889" s="6"/>
    </row>
    <row r="890" spans="31:47" ht="12.75" customHeight="1" x14ac:dyDescent="0.3">
      <c r="AE890" s="6"/>
      <c r="AJ890" s="6"/>
      <c r="AU890" s="6"/>
    </row>
    <row r="891" spans="31:47" ht="12.75" customHeight="1" x14ac:dyDescent="0.3">
      <c r="AE891" s="6"/>
      <c r="AJ891" s="6"/>
      <c r="AU891" s="6"/>
    </row>
    <row r="892" spans="31:47" ht="12.75" customHeight="1" x14ac:dyDescent="0.3">
      <c r="AE892" s="6"/>
      <c r="AJ892" s="6"/>
      <c r="AU892" s="6"/>
    </row>
    <row r="893" spans="31:47" ht="12.75" customHeight="1" x14ac:dyDescent="0.3">
      <c r="AE893" s="6"/>
      <c r="AJ893" s="6"/>
      <c r="AU893" s="6"/>
    </row>
    <row r="894" spans="31:47" ht="12.75" customHeight="1" x14ac:dyDescent="0.3">
      <c r="AE894" s="6"/>
      <c r="AJ894" s="6"/>
      <c r="AU894" s="6"/>
    </row>
    <row r="895" spans="31:47" ht="12.75" customHeight="1" x14ac:dyDescent="0.3">
      <c r="AE895" s="6"/>
      <c r="AJ895" s="6"/>
      <c r="AU895" s="6"/>
    </row>
    <row r="896" spans="31:47" ht="12.75" customHeight="1" x14ac:dyDescent="0.3">
      <c r="AE896" s="6"/>
      <c r="AJ896" s="6"/>
      <c r="AU896" s="6"/>
    </row>
    <row r="897" spans="31:47" ht="12.75" customHeight="1" x14ac:dyDescent="0.3">
      <c r="AE897" s="6"/>
      <c r="AJ897" s="6"/>
      <c r="AU897" s="6"/>
    </row>
    <row r="898" spans="31:47" ht="12.75" customHeight="1" x14ac:dyDescent="0.3">
      <c r="AE898" s="6"/>
      <c r="AJ898" s="6"/>
      <c r="AU898" s="6"/>
    </row>
    <row r="899" spans="31:47" ht="12.75" customHeight="1" x14ac:dyDescent="0.3">
      <c r="AE899" s="6"/>
      <c r="AJ899" s="6"/>
      <c r="AU899" s="6"/>
    </row>
    <row r="900" spans="31:47" ht="12.75" customHeight="1" x14ac:dyDescent="0.3">
      <c r="AE900" s="6"/>
      <c r="AJ900" s="6"/>
      <c r="AU900" s="6"/>
    </row>
    <row r="901" spans="31:47" ht="12.75" customHeight="1" x14ac:dyDescent="0.3">
      <c r="AE901" s="6"/>
      <c r="AJ901" s="6"/>
      <c r="AU901" s="6"/>
    </row>
    <row r="902" spans="31:47" ht="12.75" customHeight="1" x14ac:dyDescent="0.3">
      <c r="AE902" s="6"/>
      <c r="AJ902" s="6"/>
      <c r="AU902" s="6"/>
    </row>
    <row r="903" spans="31:47" ht="12.75" customHeight="1" x14ac:dyDescent="0.3">
      <c r="AE903" s="6"/>
      <c r="AJ903" s="6"/>
      <c r="AU903" s="6"/>
    </row>
    <row r="904" spans="31:47" ht="12.75" customHeight="1" x14ac:dyDescent="0.3">
      <c r="AE904" s="6"/>
      <c r="AJ904" s="6"/>
      <c r="AU904" s="6"/>
    </row>
    <row r="905" spans="31:47" ht="12.75" customHeight="1" x14ac:dyDescent="0.3">
      <c r="AE905" s="6"/>
      <c r="AJ905" s="6"/>
      <c r="AU905" s="6"/>
    </row>
    <row r="906" spans="31:47" ht="12.75" customHeight="1" x14ac:dyDescent="0.3">
      <c r="AE906" s="6"/>
      <c r="AJ906" s="6"/>
      <c r="AU906" s="6"/>
    </row>
    <row r="907" spans="31:47" ht="12.75" customHeight="1" x14ac:dyDescent="0.3">
      <c r="AE907" s="6"/>
      <c r="AJ907" s="6"/>
      <c r="AU907" s="6"/>
    </row>
    <row r="908" spans="31:47" ht="12.75" customHeight="1" x14ac:dyDescent="0.3">
      <c r="AE908" s="6"/>
      <c r="AJ908" s="6"/>
      <c r="AU908" s="6"/>
    </row>
    <row r="909" spans="31:47" ht="12.75" customHeight="1" x14ac:dyDescent="0.3">
      <c r="AE909" s="6"/>
      <c r="AJ909" s="6"/>
      <c r="AU909" s="6"/>
    </row>
    <row r="910" spans="31:47" ht="12.75" customHeight="1" x14ac:dyDescent="0.3">
      <c r="AE910" s="6"/>
      <c r="AJ910" s="6"/>
      <c r="AU910" s="6"/>
    </row>
    <row r="911" spans="31:47" ht="12.75" customHeight="1" x14ac:dyDescent="0.3">
      <c r="AE911" s="6"/>
      <c r="AJ911" s="6"/>
      <c r="AU911" s="6"/>
    </row>
    <row r="912" spans="31:47" ht="12.75" customHeight="1" x14ac:dyDescent="0.3">
      <c r="AE912" s="6"/>
      <c r="AJ912" s="6"/>
      <c r="AU912" s="6"/>
    </row>
    <row r="913" spans="31:47" ht="12.75" customHeight="1" x14ac:dyDescent="0.3">
      <c r="AE913" s="6"/>
      <c r="AJ913" s="6"/>
      <c r="AU913" s="6"/>
    </row>
    <row r="914" spans="31:47" ht="12.75" customHeight="1" x14ac:dyDescent="0.3">
      <c r="AE914" s="6"/>
      <c r="AJ914" s="6"/>
      <c r="AU914" s="6"/>
    </row>
    <row r="915" spans="31:47" ht="12.75" customHeight="1" x14ac:dyDescent="0.3">
      <c r="AE915" s="6"/>
      <c r="AJ915" s="6"/>
      <c r="AU915" s="6"/>
    </row>
    <row r="916" spans="31:47" ht="12.75" customHeight="1" x14ac:dyDescent="0.3">
      <c r="AE916" s="6"/>
      <c r="AJ916" s="6"/>
      <c r="AU916" s="6"/>
    </row>
    <row r="917" spans="31:47" ht="12.75" customHeight="1" x14ac:dyDescent="0.3">
      <c r="AE917" s="6"/>
      <c r="AJ917" s="6"/>
      <c r="AU917" s="6"/>
    </row>
    <row r="918" spans="31:47" ht="12.75" customHeight="1" x14ac:dyDescent="0.3">
      <c r="AE918" s="6"/>
      <c r="AJ918" s="6"/>
      <c r="AU918" s="6"/>
    </row>
    <row r="919" spans="31:47" ht="12.75" customHeight="1" x14ac:dyDescent="0.3">
      <c r="AE919" s="6"/>
      <c r="AJ919" s="6"/>
      <c r="AU919" s="6"/>
    </row>
    <row r="920" spans="31:47" ht="12.75" customHeight="1" x14ac:dyDescent="0.3">
      <c r="AE920" s="6"/>
      <c r="AJ920" s="6"/>
      <c r="AU920" s="6"/>
    </row>
    <row r="921" spans="31:47" ht="12.75" customHeight="1" x14ac:dyDescent="0.3">
      <c r="AE921" s="6"/>
      <c r="AJ921" s="6"/>
      <c r="AU921" s="6"/>
    </row>
    <row r="922" spans="31:47" ht="12.75" customHeight="1" x14ac:dyDescent="0.3">
      <c r="AE922" s="6"/>
      <c r="AJ922" s="6"/>
      <c r="AU922" s="6"/>
    </row>
    <row r="923" spans="31:47" ht="12.75" customHeight="1" x14ac:dyDescent="0.3">
      <c r="AE923" s="6"/>
      <c r="AJ923" s="6"/>
      <c r="AU923" s="6"/>
    </row>
    <row r="924" spans="31:47" ht="12.75" customHeight="1" x14ac:dyDescent="0.3">
      <c r="AE924" s="6"/>
      <c r="AJ924" s="6"/>
      <c r="AU924" s="6"/>
    </row>
    <row r="925" spans="31:47" ht="12.75" customHeight="1" x14ac:dyDescent="0.3">
      <c r="AE925" s="6"/>
      <c r="AJ925" s="6"/>
      <c r="AU925" s="6"/>
    </row>
    <row r="926" spans="31:47" ht="12.75" customHeight="1" x14ac:dyDescent="0.3">
      <c r="AE926" s="6"/>
      <c r="AJ926" s="6"/>
      <c r="AU926" s="6"/>
    </row>
    <row r="927" spans="31:47" ht="12.75" customHeight="1" x14ac:dyDescent="0.3">
      <c r="AE927" s="6"/>
      <c r="AJ927" s="6"/>
      <c r="AU927" s="6"/>
    </row>
    <row r="928" spans="31:47" ht="12.75" customHeight="1" x14ac:dyDescent="0.3">
      <c r="AE928" s="6"/>
      <c r="AJ928" s="6"/>
      <c r="AU928" s="6"/>
    </row>
    <row r="929" spans="31:47" ht="12.75" customHeight="1" x14ac:dyDescent="0.3">
      <c r="AE929" s="6"/>
      <c r="AJ929" s="6"/>
      <c r="AU929" s="6"/>
    </row>
    <row r="930" spans="31:47" ht="12.75" customHeight="1" x14ac:dyDescent="0.3">
      <c r="AE930" s="6"/>
      <c r="AJ930" s="6"/>
      <c r="AU930" s="6"/>
    </row>
    <row r="931" spans="31:47" ht="12.75" customHeight="1" x14ac:dyDescent="0.3">
      <c r="AE931" s="6"/>
      <c r="AJ931" s="6"/>
      <c r="AU931" s="6"/>
    </row>
    <row r="932" spans="31:47" ht="12.75" customHeight="1" x14ac:dyDescent="0.3">
      <c r="AE932" s="6"/>
      <c r="AJ932" s="6"/>
      <c r="AU932" s="6"/>
    </row>
    <row r="933" spans="31:47" ht="12.75" customHeight="1" x14ac:dyDescent="0.3">
      <c r="AE933" s="6"/>
      <c r="AJ933" s="6"/>
      <c r="AU933" s="6"/>
    </row>
    <row r="934" spans="31:47" ht="12.75" customHeight="1" x14ac:dyDescent="0.3">
      <c r="AE934" s="6"/>
      <c r="AJ934" s="6"/>
      <c r="AU934" s="6"/>
    </row>
    <row r="935" spans="31:47" ht="12.75" customHeight="1" x14ac:dyDescent="0.3">
      <c r="AE935" s="6"/>
      <c r="AJ935" s="6"/>
      <c r="AU935" s="6"/>
    </row>
    <row r="936" spans="31:47" ht="12.75" customHeight="1" x14ac:dyDescent="0.3">
      <c r="AE936" s="6"/>
      <c r="AJ936" s="6"/>
      <c r="AU936" s="6"/>
    </row>
    <row r="937" spans="31:47" ht="12.75" customHeight="1" x14ac:dyDescent="0.3">
      <c r="AE937" s="6"/>
      <c r="AJ937" s="6"/>
      <c r="AU937" s="6"/>
    </row>
    <row r="938" spans="31:47" ht="12.75" customHeight="1" x14ac:dyDescent="0.3">
      <c r="AE938" s="6"/>
      <c r="AJ938" s="6"/>
      <c r="AU938" s="6"/>
    </row>
    <row r="939" spans="31:47" ht="12.75" customHeight="1" x14ac:dyDescent="0.3">
      <c r="AE939" s="6"/>
      <c r="AJ939" s="6"/>
      <c r="AU939" s="6"/>
    </row>
    <row r="940" spans="31:47" ht="12.75" customHeight="1" x14ac:dyDescent="0.3">
      <c r="AE940" s="6"/>
      <c r="AJ940" s="6"/>
      <c r="AU940" s="6"/>
    </row>
    <row r="941" spans="31:47" ht="12.75" customHeight="1" x14ac:dyDescent="0.3">
      <c r="AE941" s="6"/>
      <c r="AJ941" s="6"/>
      <c r="AU941" s="6"/>
    </row>
    <row r="942" spans="31:47" ht="12.75" customHeight="1" x14ac:dyDescent="0.3">
      <c r="AE942" s="6"/>
      <c r="AJ942" s="6"/>
      <c r="AU942" s="6"/>
    </row>
    <row r="943" spans="31:47" ht="12.75" customHeight="1" x14ac:dyDescent="0.3">
      <c r="AE943" s="6"/>
      <c r="AJ943" s="6"/>
      <c r="AU943" s="6"/>
    </row>
    <row r="944" spans="31:47" ht="12.75" customHeight="1" x14ac:dyDescent="0.3">
      <c r="AE944" s="6"/>
      <c r="AJ944" s="6"/>
      <c r="AU944" s="6"/>
    </row>
    <row r="945" spans="31:47" ht="12.75" customHeight="1" x14ac:dyDescent="0.3">
      <c r="AE945" s="6"/>
      <c r="AJ945" s="6"/>
      <c r="AU945" s="6"/>
    </row>
    <row r="946" spans="31:47" ht="12.75" customHeight="1" x14ac:dyDescent="0.3">
      <c r="AE946" s="6"/>
      <c r="AJ946" s="6"/>
      <c r="AU946" s="6"/>
    </row>
    <row r="947" spans="31:47" ht="12.75" customHeight="1" x14ac:dyDescent="0.3">
      <c r="AE947" s="6"/>
      <c r="AJ947" s="6"/>
      <c r="AU947" s="6"/>
    </row>
    <row r="948" spans="31:47" ht="12.75" customHeight="1" x14ac:dyDescent="0.3">
      <c r="AE948" s="6"/>
      <c r="AJ948" s="6"/>
      <c r="AU948" s="6"/>
    </row>
    <row r="949" spans="31:47" ht="12.75" customHeight="1" x14ac:dyDescent="0.3">
      <c r="AE949" s="6"/>
      <c r="AJ949" s="6"/>
      <c r="AU949" s="6"/>
    </row>
    <row r="950" spans="31:47" ht="12.75" customHeight="1" x14ac:dyDescent="0.3">
      <c r="AE950" s="6"/>
      <c r="AJ950" s="6"/>
      <c r="AU950" s="6"/>
    </row>
    <row r="951" spans="31:47" ht="12.75" customHeight="1" x14ac:dyDescent="0.3">
      <c r="AE951" s="6"/>
      <c r="AJ951" s="6"/>
      <c r="AU951" s="6"/>
    </row>
    <row r="952" spans="31:47" ht="12.75" customHeight="1" x14ac:dyDescent="0.3">
      <c r="AE952" s="6"/>
      <c r="AJ952" s="6"/>
      <c r="AU952" s="6"/>
    </row>
    <row r="953" spans="31:47" ht="12.75" customHeight="1" x14ac:dyDescent="0.3">
      <c r="AE953" s="6"/>
      <c r="AJ953" s="6"/>
      <c r="AU953" s="6"/>
    </row>
    <row r="954" spans="31:47" ht="12.75" customHeight="1" x14ac:dyDescent="0.3">
      <c r="AE954" s="6"/>
      <c r="AJ954" s="6"/>
      <c r="AU954" s="6"/>
    </row>
    <row r="955" spans="31:47" ht="12.75" customHeight="1" x14ac:dyDescent="0.3">
      <c r="AE955" s="6"/>
      <c r="AJ955" s="6"/>
      <c r="AU955" s="6"/>
    </row>
    <row r="956" spans="31:47" ht="12.75" customHeight="1" x14ac:dyDescent="0.3">
      <c r="AE956" s="6"/>
      <c r="AJ956" s="6"/>
      <c r="AU956" s="6"/>
    </row>
    <row r="957" spans="31:47" ht="12.75" customHeight="1" x14ac:dyDescent="0.3">
      <c r="AE957" s="6"/>
      <c r="AJ957" s="6"/>
      <c r="AU957" s="6"/>
    </row>
    <row r="958" spans="31:47" ht="12.75" customHeight="1" x14ac:dyDescent="0.3">
      <c r="AE958" s="6"/>
      <c r="AJ958" s="6"/>
      <c r="AU958" s="6"/>
    </row>
    <row r="959" spans="31:47" ht="12.75" customHeight="1" x14ac:dyDescent="0.3">
      <c r="AE959" s="6"/>
      <c r="AJ959" s="6"/>
      <c r="AU959" s="6"/>
    </row>
    <row r="960" spans="31:47" ht="12.75" customHeight="1" x14ac:dyDescent="0.3">
      <c r="AE960" s="6"/>
      <c r="AJ960" s="6"/>
      <c r="AU960" s="6"/>
    </row>
    <row r="961" spans="31:47" ht="12.75" customHeight="1" x14ac:dyDescent="0.3">
      <c r="AE961" s="6"/>
      <c r="AJ961" s="6"/>
      <c r="AU961" s="6"/>
    </row>
    <row r="962" spans="31:47" ht="12.75" customHeight="1" x14ac:dyDescent="0.3">
      <c r="AE962" s="6"/>
      <c r="AJ962" s="6"/>
      <c r="AU962" s="6"/>
    </row>
    <row r="963" spans="31:47" ht="12.75" customHeight="1" x14ac:dyDescent="0.3">
      <c r="AE963" s="6"/>
      <c r="AJ963" s="6"/>
      <c r="AU963" s="6"/>
    </row>
    <row r="964" spans="31:47" ht="12.75" customHeight="1" x14ac:dyDescent="0.3">
      <c r="AE964" s="6"/>
      <c r="AJ964" s="6"/>
      <c r="AU964" s="6"/>
    </row>
    <row r="965" spans="31:47" ht="12.75" customHeight="1" x14ac:dyDescent="0.3">
      <c r="AE965" s="6"/>
      <c r="AJ965" s="6"/>
      <c r="AU965" s="6"/>
    </row>
    <row r="966" spans="31:47" ht="12.75" customHeight="1" x14ac:dyDescent="0.3">
      <c r="AE966" s="6"/>
      <c r="AJ966" s="6"/>
      <c r="AU966" s="6"/>
    </row>
    <row r="967" spans="31:47" ht="12.75" customHeight="1" x14ac:dyDescent="0.3">
      <c r="AE967" s="6"/>
      <c r="AJ967" s="6"/>
      <c r="AU967" s="6"/>
    </row>
    <row r="968" spans="31:47" ht="12.75" customHeight="1" x14ac:dyDescent="0.3">
      <c r="AE968" s="6"/>
      <c r="AJ968" s="6"/>
      <c r="AU968" s="6"/>
    </row>
    <row r="969" spans="31:47" ht="12.75" customHeight="1" x14ac:dyDescent="0.3">
      <c r="AE969" s="6"/>
      <c r="AJ969" s="6"/>
      <c r="AU969" s="6"/>
    </row>
    <row r="970" spans="31:47" ht="12.75" customHeight="1" x14ac:dyDescent="0.3">
      <c r="AE970" s="6"/>
      <c r="AJ970" s="6"/>
      <c r="AU970" s="6"/>
    </row>
    <row r="971" spans="31:47" ht="12.75" customHeight="1" x14ac:dyDescent="0.3">
      <c r="AE971" s="6"/>
      <c r="AJ971" s="6"/>
      <c r="AU971" s="6"/>
    </row>
    <row r="972" spans="31:47" ht="12.75" customHeight="1" x14ac:dyDescent="0.3">
      <c r="AE972" s="6"/>
      <c r="AJ972" s="6"/>
      <c r="AU972" s="6"/>
    </row>
    <row r="973" spans="31:47" ht="12.75" customHeight="1" x14ac:dyDescent="0.3">
      <c r="AE973" s="6"/>
      <c r="AJ973" s="6"/>
      <c r="AU973" s="6"/>
    </row>
    <row r="974" spans="31:47" ht="12.75" customHeight="1" x14ac:dyDescent="0.3">
      <c r="AE974" s="6"/>
      <c r="AJ974" s="6"/>
      <c r="AU974" s="6"/>
    </row>
    <row r="975" spans="31:47" ht="12.75" customHeight="1" x14ac:dyDescent="0.3">
      <c r="AE975" s="6"/>
      <c r="AJ975" s="6"/>
      <c r="AU975" s="6"/>
    </row>
    <row r="976" spans="31:47" ht="12.75" customHeight="1" x14ac:dyDescent="0.3">
      <c r="AE976" s="6"/>
      <c r="AJ976" s="6"/>
      <c r="AU976" s="6"/>
    </row>
    <row r="977" spans="31:47" ht="12.75" customHeight="1" x14ac:dyDescent="0.3">
      <c r="AE977" s="6"/>
      <c r="AJ977" s="6"/>
      <c r="AU977" s="6"/>
    </row>
    <row r="978" spans="31:47" ht="12.75" customHeight="1" x14ac:dyDescent="0.3">
      <c r="AE978" s="6"/>
      <c r="AJ978" s="6"/>
      <c r="AU978" s="6"/>
    </row>
    <row r="979" spans="31:47" ht="12.75" customHeight="1" x14ac:dyDescent="0.3">
      <c r="AE979" s="6"/>
      <c r="AJ979" s="6"/>
      <c r="AU979" s="6"/>
    </row>
    <row r="980" spans="31:47" ht="12.75" customHeight="1" x14ac:dyDescent="0.3">
      <c r="AE980" s="6"/>
      <c r="AJ980" s="6"/>
      <c r="AU980" s="6"/>
    </row>
    <row r="981" spans="31:47" ht="12.75" customHeight="1" x14ac:dyDescent="0.3">
      <c r="AE981" s="6"/>
      <c r="AJ981" s="6"/>
      <c r="AU981" s="6"/>
    </row>
    <row r="982" spans="31:47" ht="12.75" customHeight="1" x14ac:dyDescent="0.3">
      <c r="AE982" s="6"/>
      <c r="AJ982" s="6"/>
      <c r="AU982" s="6"/>
    </row>
    <row r="983" spans="31:47" ht="12.75" customHeight="1" x14ac:dyDescent="0.3">
      <c r="AE983" s="6"/>
      <c r="AJ983" s="6"/>
      <c r="AU983" s="6"/>
    </row>
    <row r="984" spans="31:47" ht="12.75" customHeight="1" x14ac:dyDescent="0.3">
      <c r="AE984" s="6"/>
      <c r="AJ984" s="6"/>
      <c r="AU984" s="6"/>
    </row>
    <row r="985" spans="31:47" ht="12.75" customHeight="1" x14ac:dyDescent="0.3">
      <c r="AE985" s="6"/>
      <c r="AJ985" s="6"/>
      <c r="AU985" s="6"/>
    </row>
    <row r="986" spans="31:47" ht="12.75" customHeight="1" x14ac:dyDescent="0.3">
      <c r="AE986" s="6"/>
      <c r="AJ986" s="6"/>
      <c r="AU986" s="6"/>
    </row>
  </sheetData>
  <mergeCells count="11">
    <mergeCell ref="A7:C7"/>
    <mergeCell ref="H2:W2"/>
    <mergeCell ref="Y2:AE2"/>
    <mergeCell ref="AG2:AJ2"/>
    <mergeCell ref="AO2:AU2"/>
    <mergeCell ref="H3:I3"/>
    <mergeCell ref="K3:L3"/>
    <mergeCell ref="N3:O3"/>
    <mergeCell ref="Q3:R3"/>
    <mergeCell ref="T3:U3"/>
    <mergeCell ref="AL2:AM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C&amp;P</vt:lpstr>
      <vt:lpstr>Invoicing</vt:lpstr>
      <vt:lpstr>'C&amp;P'!Títulos_a_imprimir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PERSONAL</dc:creator>
  <cp:keywords/>
  <dc:description/>
  <cp:lastModifiedBy>Cristian Parada</cp:lastModifiedBy>
  <cp:revision/>
  <dcterms:created xsi:type="dcterms:W3CDTF">2024-08-30T22:12:49Z</dcterms:created>
  <dcterms:modified xsi:type="dcterms:W3CDTF">2026-09-16T13:58:02Z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