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" documentId="13_ncr:1_{E8BAA545-3257-4345-8106-00B72D1C443E}" xr6:coauthVersionLast="47" xr6:coauthVersionMax="47" xr10:uidLastSave="{3AA9D45D-FA53-4628-925D-7B9B47C6F2FE}"/>
  <bookViews>
    <workbookView xWindow="-120" yWindow="-120" windowWidth="20730" windowHeight="11040" xr2:uid="{00000000-000D-0000-FFFF-FFFF00000000}"/>
  </bookViews>
  <sheets>
    <sheet name="INVOICING" sheetId="2" r:id="rId1"/>
  </sheets>
  <definedNames>
    <definedName name="_xlnm._FilterDatabase">INVOICING!$A$3:$AD$3,INVOICING!$AF$3:$AM$3,INVOICING!$AO$3:$AV$3,INVOICING!$AX$3:$BK$3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" i="2" l="1"/>
  <c r="AT6" i="2"/>
  <c r="AS6" i="2"/>
  <c r="AR6" i="2"/>
  <c r="AQ6" i="2"/>
  <c r="AP6" i="2"/>
  <c r="AL6" i="2"/>
  <c r="AK6" i="2"/>
  <c r="AJ6" i="2"/>
  <c r="AI6" i="2"/>
  <c r="AH6" i="2"/>
  <c r="AG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AZ5" i="2"/>
  <c r="BB5" i="2" s="1"/>
  <c r="BG5" i="2" s="1"/>
  <c r="AV5" i="2"/>
  <c r="AM5" i="2"/>
  <c r="AD5" i="2"/>
  <c r="BA5" i="2" s="1"/>
  <c r="AZ4" i="2"/>
  <c r="BB4" i="2" s="1"/>
  <c r="AV4" i="2"/>
  <c r="AV6" i="2" s="1"/>
  <c r="AM4" i="2"/>
  <c r="AM6" i="2" s="1"/>
  <c r="AD4" i="2"/>
  <c r="BA4" i="2" s="1"/>
  <c r="BB6" i="2" l="1"/>
  <c r="BG4" i="2"/>
  <c r="BG6" i="2" s="1"/>
  <c r="BA6" i="2"/>
  <c r="AY4" i="2"/>
  <c r="AD6" i="2"/>
  <c r="BF4" i="2"/>
  <c r="BF5" i="2"/>
  <c r="AZ6" i="2"/>
  <c r="AY5" i="2"/>
  <c r="BF6" i="2" l="1"/>
  <c r="AY6" i="2"/>
  <c r="BE4" i="2"/>
  <c r="BC4" i="2"/>
  <c r="BE5" i="2"/>
  <c r="BH5" i="2" s="1"/>
  <c r="BC5" i="2"/>
  <c r="BC6" i="2" l="1"/>
  <c r="BE6" i="2"/>
  <c r="BH4" i="2"/>
  <c r="BH6" i="2" l="1"/>
  <c r="BI2" i="2"/>
</calcChain>
</file>

<file path=xl/sharedStrings.xml><?xml version="1.0" encoding="utf-8"?>
<sst xmlns="http://schemas.openxmlformats.org/spreadsheetml/2006/main" count="74" uniqueCount="69">
  <si>
    <t>COST REPORT</t>
  </si>
  <si>
    <t>SOCIAL SECURITY EMPLOYER COSTS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</si>
  <si>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</si>
  <si>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</si>
  <si>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</si>
  <si>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</si>
  <si>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</si>
  <si>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</si>
  <si>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</si>
  <si>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</si>
  <si>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</si>
  <si>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</si>
  <si>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</si>
  <si>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</si>
  <si>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</si>
  <si>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</si>
  <si>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</si>
  <si>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</si>
  <si>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</si>
  <si>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</si>
  <si>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</si>
  <si>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</si>
  <si>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</si>
  <si>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</si>
  <si>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</si>
  <si>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</si>
  <si>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</si>
  <si>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</si>
  <si>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</si>
  <si>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</si>
  <si>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</si>
  <si>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</si>
  <si>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</si>
  <si>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</si>
  <si>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</si>
  <si>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</si>
  <si>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</si>
  <si>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</si>
  <si>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</si>
  <si>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</si>
  <si>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</si>
  <si>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EXPENSES</t>
  </si>
  <si>
    <t>HEALTH INSURANCE</t>
  </si>
  <si>
    <t>MEDICAL TEST</t>
  </si>
  <si>
    <t>LEAVE PAID REFOUND</t>
  </si>
  <si>
    <t>PARKING COST</t>
  </si>
  <si>
    <t>SENA QUOTE</t>
  </si>
  <si>
    <t>TOTAL EMPLOYEE COST</t>
  </si>
  <si>
    <t>FEE</t>
  </si>
  <si>
    <t>BANKING TAX</t>
  </si>
  <si>
    <t>IVA</t>
  </si>
  <si>
    <t>TOTAL COP</t>
  </si>
  <si>
    <t>EXCHANGE RATE</t>
  </si>
  <si>
    <t>TOTAL EMPLOYEE COST USD</t>
  </si>
  <si>
    <t>FEE USD</t>
  </si>
  <si>
    <t>VAT</t>
  </si>
  <si>
    <t>TOTAL USD</t>
  </si>
  <si>
    <t>PLATFORM</t>
  </si>
  <si>
    <t>DIFERENCE</t>
  </si>
  <si>
    <t>1055313601</t>
  </si>
  <si>
    <t>ALBA PALACIOS MARIA DEL</t>
  </si>
  <si>
    <t>active</t>
  </si>
  <si>
    <t>Colombia</t>
  </si>
  <si>
    <t>August</t>
  </si>
  <si>
    <t>Monthly Payroll</t>
  </si>
  <si>
    <t>m</t>
  </si>
  <si>
    <t>1020783516</t>
  </si>
  <si>
    <t>RESTREPO MONTOYA DANIELA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</si>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</sst>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"/>
    <numFmt numFmtId="165" formatCode="mmmm&quot;, &quot;yyyy"/>
    <numFmt numFmtId="166" formatCode="[$-10C0A]#,##0;\(#,##0\)"/>
    <numFmt numFmtId="167" formatCode="[$-10C0A]#,##0.00;\(#,##0.00\)"/>
  </numFmts>
  <fonts count="12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7"/>
      <color theme="1"/>
      <name val="Tahoma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</fills>
  <borders count="5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1" fillId="0" borderId="0" xfId="0" applyNumberFormat="1" applyFont="1"/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3" xfId="0" applyFont="1" applyBorder="1" applyAlignment="1">
      <alignment vertical="center" wrapText="1" readingOrder="1"/>
    </xf>
    <xf numFmtId="14" fontId="9" fillId="0" borderId="3" xfId="0" applyNumberFormat="1" applyFont="1" applyBorder="1" applyAlignment="1">
      <alignment vertical="center" wrapText="1" readingOrder="1"/>
    </xf>
    <xf numFmtId="165" fontId="10" fillId="0" borderId="3" xfId="0" applyNumberFormat="1" applyFont="1" applyBorder="1" applyAlignment="1">
      <alignment vertical="center" wrapText="1" readingOrder="1"/>
    </xf>
    <xf numFmtId="0" fontId="9" fillId="0" borderId="3" xfId="0" applyFont="1" applyBorder="1" applyAlignment="1">
      <alignment vertical="center" readingOrder="1"/>
    </xf>
    <xf numFmtId="166" fontId="9" fillId="0" borderId="3" xfId="0" applyNumberFormat="1" applyFont="1" applyBorder="1" applyAlignment="1">
      <alignment horizontal="right" vertical="center" wrapText="1" readingOrder="1"/>
    </xf>
    <xf numFmtId="166" fontId="9" fillId="5" borderId="3" xfId="0" applyNumberFormat="1" applyFont="1" applyFill="1" applyBorder="1" applyAlignment="1">
      <alignment horizontal="right" vertical="center" wrapText="1" readingOrder="1"/>
    </xf>
    <xf numFmtId="166" fontId="9" fillId="0" borderId="0" xfId="0" applyNumberFormat="1" applyFont="1" applyAlignment="1">
      <alignment horizontal="right" vertical="center" wrapText="1" readingOrder="1"/>
    </xf>
    <xf numFmtId="166" fontId="9" fillId="6" borderId="3" xfId="0" applyNumberFormat="1" applyFont="1" applyFill="1" applyBorder="1" applyAlignment="1">
      <alignment horizontal="right" vertical="center" wrapText="1" readingOrder="1"/>
    </xf>
    <xf numFmtId="167" fontId="9" fillId="0" borderId="3" xfId="0" applyNumberFormat="1" applyFont="1" applyBorder="1" applyAlignment="1">
      <alignment horizontal="right" vertical="center" wrapText="1" readingOrder="1"/>
    </xf>
    <xf numFmtId="167" fontId="9" fillId="7" borderId="3" xfId="0" applyNumberFormat="1" applyFont="1" applyFill="1" applyBorder="1" applyAlignment="1">
      <alignment horizontal="right" vertical="center" wrapText="1" readingOrder="1"/>
    </xf>
    <xf numFmtId="167" fontId="9" fillId="8" borderId="3" xfId="0" applyNumberFormat="1" applyFont="1" applyFill="1" applyBorder="1" applyAlignment="1">
      <alignment horizontal="right" vertical="center" wrapText="1" readingOrder="1"/>
    </xf>
    <xf numFmtId="166" fontId="9" fillId="8" borderId="3" xfId="0" applyNumberFormat="1" applyFont="1" applyFill="1" applyBorder="1" applyAlignment="1">
      <alignment horizontal="right" vertical="center" wrapText="1" readingOrder="1"/>
    </xf>
    <xf numFmtId="43" fontId="9" fillId="8" borderId="3" xfId="0" applyNumberFormat="1" applyFont="1" applyFill="1" applyBorder="1" applyAlignment="1">
      <alignment horizontal="right" vertical="center" wrapText="1" readingOrder="1"/>
    </xf>
    <xf numFmtId="0" fontId="11" fillId="0" borderId="0" xfId="0" applyFont="1"/>
    <xf numFmtId="166" fontId="1" fillId="0" borderId="0" xfId="0" applyNumberFormat="1" applyFont="1"/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"/>
  <sheetViews>
    <sheetView tabSelected="1" topLeftCell="BA1" zoomScale="115" zoomScaleNormal="115" workbookViewId="0">
      <selection activeCell="BK6" sqref="BK6"/>
    </sheetView>
  </sheetViews>
  <sheetFormatPr defaultColWidth="9.140625" defaultRowHeight="14.45" customHeight="1"/>
  <cols>
    <col min="1" max="2" width="10.28515625" style="1" customWidth="1"/>
    <col min="3" max="3" width="31.140625" style="1" customWidth="1"/>
    <col min="4" max="4" width="14.42578125" style="1" customWidth="1"/>
    <col min="5" max="5" width="14.7109375" style="1" customWidth="1"/>
    <col min="6" max="6" width="20.140625" style="1" customWidth="1"/>
    <col min="7" max="7" width="11.85546875" style="1" customWidth="1"/>
    <col min="8" max="9" width="16.140625" style="1" customWidth="1"/>
    <col min="10" max="10" width="15.28515625" style="1" customWidth="1"/>
    <col min="11" max="11" width="10" style="1" customWidth="1"/>
    <col min="12" max="12" width="12.140625" style="1" customWidth="1"/>
    <col min="13" max="15" width="10" style="1" customWidth="1"/>
    <col min="16" max="16" width="12.140625" style="1" customWidth="1"/>
    <col min="17" max="17" width="15.7109375" style="1" customWidth="1"/>
    <col min="18" max="18" width="14.28515625" style="1" customWidth="1"/>
    <col min="19" max="19" width="15.7109375" style="1" customWidth="1"/>
    <col min="20" max="29" width="12.7109375" style="1" customWidth="1"/>
    <col min="30" max="30" width="11.28515625" style="1" customWidth="1"/>
    <col min="32" max="38" width="12.5703125" style="1" customWidth="1"/>
    <col min="39" max="39" width="12.42578125" style="1" customWidth="1"/>
    <col min="41" max="41" width="9.140625" style="1" customWidth="1"/>
    <col min="42" max="42" width="9.5703125" style="1" customWidth="1"/>
    <col min="43" max="43" width="10.42578125" style="1" customWidth="1"/>
    <col min="44" max="47" width="8.85546875" style="1" customWidth="1"/>
    <col min="48" max="48" width="9" style="1" customWidth="1"/>
    <col min="50" max="50" width="12.5703125" style="1" customWidth="1"/>
    <col min="51" max="51" width="11.5703125" style="1" customWidth="1"/>
    <col min="52" max="52" width="8.42578125" style="1" customWidth="1"/>
    <col min="53" max="53" width="8.85546875" style="1" customWidth="1"/>
    <col min="54" max="54" width="7.140625" style="1" customWidth="1"/>
    <col min="55" max="55" width="11.28515625" style="1" customWidth="1"/>
    <col min="56" max="56" width="12.5703125" style="1" customWidth="1"/>
    <col min="57" max="57" width="10.42578125" style="1" customWidth="1"/>
    <col min="58" max="58" width="9.42578125" style="1" customWidth="1"/>
    <col min="59" max="59" width="8.28515625" style="1" customWidth="1"/>
    <col min="60" max="60" width="12.28515625" style="1" customWidth="1"/>
    <col min="61" max="61" width="12.5703125" style="1" hidden="1" customWidth="1"/>
    <col min="62" max="62" width="10.85546875" style="1" hidden="1" customWidth="1"/>
    <col min="63" max="63" width="14.5703125" style="1" customWidth="1"/>
    <col min="64" max="79" width="9.140625" style="1" customWidth="1"/>
  </cols>
  <sheetData>
    <row r="1" spans="1:63" ht="17.45" customHeight="1">
      <c r="A1" s="2"/>
      <c r="B1" s="2"/>
      <c r="C1" s="3" t="s">
        <v>0</v>
      </c>
      <c r="D1" s="3"/>
      <c r="E1" s="3"/>
      <c r="F1" s="3"/>
      <c r="G1" s="3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5"/>
      <c r="AF1" s="6"/>
      <c r="AG1" s="6"/>
      <c r="AH1" s="6"/>
      <c r="AI1" s="6"/>
      <c r="AJ1" s="6"/>
      <c r="AK1" s="6"/>
      <c r="AL1" s="6"/>
      <c r="AM1" s="7"/>
      <c r="AP1" s="6"/>
      <c r="AQ1" s="6"/>
      <c r="AR1" s="6"/>
      <c r="AS1" s="6"/>
      <c r="AT1" s="6"/>
      <c r="AU1" s="6"/>
      <c r="AV1" s="7"/>
      <c r="AX1" s="6"/>
      <c r="AY1" s="6"/>
      <c r="AZ1" s="6"/>
      <c r="BA1" s="6"/>
      <c r="BB1" s="6"/>
      <c r="BC1" s="6"/>
      <c r="BD1" s="6"/>
      <c r="BE1" s="6"/>
      <c r="BF1" s="8"/>
      <c r="BG1" s="6"/>
      <c r="BH1" s="7"/>
    </row>
    <row r="2" spans="1:63" ht="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9"/>
      <c r="AF2" s="10"/>
      <c r="AG2" s="32" t="s">
        <v>1</v>
      </c>
      <c r="AH2" s="32"/>
      <c r="AI2" s="32"/>
      <c r="AJ2" s="32"/>
      <c r="AK2" s="32"/>
      <c r="AL2" s="32"/>
      <c r="AM2" s="32"/>
      <c r="AP2" s="32" t="s">
        <v>2</v>
      </c>
      <c r="AQ2" s="32"/>
      <c r="AR2" s="32"/>
      <c r="AS2" s="32"/>
      <c r="AT2" s="32"/>
      <c r="AU2" s="32"/>
      <c r="AV2" s="32"/>
      <c r="AX2" s="10"/>
      <c r="AY2" s="32" t="s">
        <v>3</v>
      </c>
      <c r="AZ2" s="32"/>
      <c r="BA2" s="32"/>
      <c r="BB2" s="32"/>
      <c r="BC2" s="32"/>
      <c r="BD2" s="32"/>
      <c r="BE2" s="32"/>
      <c r="BF2" s="32"/>
      <c r="BG2" s="32"/>
      <c r="BH2" s="32"/>
      <c r="BI2" s="11">
        <f>1/BH4</f>
        <v>3.584383557715744E-4</v>
      </c>
    </row>
    <row r="3" spans="1:63" ht="48.75" customHeight="1">
      <c r="A3" s="12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3" t="s">
        <v>11</v>
      </c>
      <c r="I3" s="12" t="s">
        <v>12</v>
      </c>
      <c r="J3" s="12" t="s">
        <v>13</v>
      </c>
      <c r="K3" s="12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4" t="s">
        <v>19</v>
      </c>
      <c r="Q3" s="14" t="s">
        <v>20</v>
      </c>
      <c r="R3" s="15" t="s">
        <v>21</v>
      </c>
      <c r="S3" s="15" t="s">
        <v>22</v>
      </c>
      <c r="T3" s="12" t="s">
        <v>23</v>
      </c>
      <c r="U3" s="15" t="s">
        <v>24</v>
      </c>
      <c r="V3" s="15" t="s">
        <v>25</v>
      </c>
      <c r="W3" s="15" t="s">
        <v>26</v>
      </c>
      <c r="X3" s="15" t="s">
        <v>27</v>
      </c>
      <c r="Y3" s="15" t="s">
        <v>28</v>
      </c>
      <c r="Z3" s="15" t="s">
        <v>29</v>
      </c>
      <c r="AA3" s="15" t="s">
        <v>30</v>
      </c>
      <c r="AB3" s="15" t="s">
        <v>31</v>
      </c>
      <c r="AC3" s="15" t="s">
        <v>32</v>
      </c>
      <c r="AD3" s="12" t="s">
        <v>33</v>
      </c>
      <c r="AF3" s="16"/>
      <c r="AG3" s="15" t="s">
        <v>34</v>
      </c>
      <c r="AH3" s="15" t="s">
        <v>35</v>
      </c>
      <c r="AI3" s="15" t="s">
        <v>36</v>
      </c>
      <c r="AJ3" s="15" t="s">
        <v>37</v>
      </c>
      <c r="AK3" s="15" t="s">
        <v>38</v>
      </c>
      <c r="AL3" s="15" t="s">
        <v>39</v>
      </c>
      <c r="AM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40</v>
      </c>
      <c r="AX3" s="16"/>
      <c r="AY3" s="15" t="s">
        <v>47</v>
      </c>
      <c r="AZ3" s="15" t="s">
        <v>48</v>
      </c>
      <c r="BA3" s="15" t="s">
        <v>49</v>
      </c>
      <c r="BB3" s="15" t="s">
        <v>50</v>
      </c>
      <c r="BC3" s="15" t="s">
        <v>51</v>
      </c>
      <c r="BD3" s="15" t="s">
        <v>52</v>
      </c>
      <c r="BE3" s="15" t="s">
        <v>53</v>
      </c>
      <c r="BF3" s="15" t="s">
        <v>54</v>
      </c>
      <c r="BG3" s="15" t="s">
        <v>55</v>
      </c>
      <c r="BH3" s="15" t="s">
        <v>56</v>
      </c>
      <c r="BI3" s="15" t="s">
        <v>57</v>
      </c>
      <c r="BJ3" s="15" t="s">
        <v>58</v>
      </c>
    </row>
    <row r="4" spans="1:63" ht="15">
      <c r="A4" s="17" t="s">
        <v>59</v>
      </c>
      <c r="B4" s="17"/>
      <c r="C4" s="17" t="s">
        <v>60</v>
      </c>
      <c r="D4" s="18">
        <v>44789.208518518513</v>
      </c>
      <c r="E4" s="18"/>
      <c r="F4" s="17" t="s">
        <v>61</v>
      </c>
      <c r="G4" s="17" t="s">
        <v>62</v>
      </c>
      <c r="H4" s="19" t="s">
        <v>63</v>
      </c>
      <c r="I4" s="20" t="s">
        <v>64</v>
      </c>
      <c r="J4" s="20"/>
      <c r="K4" s="21">
        <v>6956250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2">
        <f>SUM(K4,M4,N4,O4,P4,Q4,R4,S4,T4,U4,V4,W4,X4,Y4,Z4,AA4,L4,AC4,AB4)</f>
        <v>6956250</v>
      </c>
      <c r="AF4" s="23"/>
      <c r="AG4" s="21">
        <v>834750</v>
      </c>
      <c r="AH4" s="21"/>
      <c r="AI4" s="21">
        <v>36400</v>
      </c>
      <c r="AJ4" s="21">
        <v>278300</v>
      </c>
      <c r="AK4" s="21"/>
      <c r="AL4" s="21"/>
      <c r="AM4" s="22">
        <f>SUM(AJ4,AH4,AL4,AI4,AK4,AG4)</f>
        <v>1149450</v>
      </c>
      <c r="AP4" s="21"/>
      <c r="AQ4" s="21"/>
      <c r="AR4" s="21"/>
      <c r="AS4" s="21"/>
      <c r="AT4" s="21"/>
      <c r="AU4" s="21"/>
      <c r="AV4" s="24">
        <f>SUM(AP4,AQ4,AR4,AS4,AT4,AU4,AB4)</f>
        <v>0</v>
      </c>
      <c r="AX4" s="23"/>
      <c r="AY4" s="21">
        <f>SUM(AD4,AM4,AV4,BA4)</f>
        <v>8138122.7999999998</v>
      </c>
      <c r="AZ4" s="21">
        <f>100.84*BD4</f>
        <v>307372.42080000002</v>
      </c>
      <c r="BA4" s="21">
        <f>(AD4+AM4+AV4)*0.004</f>
        <v>32422.799999999999</v>
      </c>
      <c r="BB4" s="21">
        <f>AZ4*0.19</f>
        <v>58400.759952000008</v>
      </c>
      <c r="BC4" s="21">
        <f>SUM(AY4,AZ4,BB4)</f>
        <v>8503895.9807519987</v>
      </c>
      <c r="BD4" s="25">
        <v>3048.12</v>
      </c>
      <c r="BE4" s="26">
        <f>ROUND(AY4/BD4,2)</f>
        <v>2669.88</v>
      </c>
      <c r="BF4" s="26">
        <f>ROUND(AZ4/BD4,2)</f>
        <v>100.84</v>
      </c>
      <c r="BG4" s="26">
        <f>ROUND(BB4/BD4,2)</f>
        <v>19.16</v>
      </c>
      <c r="BH4" s="26">
        <f>SUM(BE4,BF4,BG4)</f>
        <v>2789.88</v>
      </c>
      <c r="BI4" s="27"/>
      <c r="BJ4" s="26"/>
      <c r="BK4" s="1" t="s">
        <v>65</v>
      </c>
    </row>
    <row r="5" spans="1:63" ht="15">
      <c r="A5" s="17" t="s">
        <v>66</v>
      </c>
      <c r="B5" s="17"/>
      <c r="C5" s="17" t="s">
        <v>67</v>
      </c>
      <c r="D5" s="18">
        <v>45069.208518518513</v>
      </c>
      <c r="E5" s="18"/>
      <c r="F5" s="17" t="s">
        <v>61</v>
      </c>
      <c r="G5" s="17" t="s">
        <v>62</v>
      </c>
      <c r="H5" s="19" t="s">
        <v>63</v>
      </c>
      <c r="I5" s="20" t="s">
        <v>64</v>
      </c>
      <c r="K5" s="21">
        <v>3781958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C5" s="21"/>
      <c r="AD5" s="22">
        <f>SUM(K5,M5,N5,O5,P5,Q5,R5,S5,T5,U5,V5,W5,X5,Y5,Z5,AA5,L5,AC5,AB5)</f>
        <v>3781958</v>
      </c>
      <c r="AG5" s="21">
        <v>454021</v>
      </c>
      <c r="AH5" s="21"/>
      <c r="AI5" s="21">
        <v>17800</v>
      </c>
      <c r="AJ5" s="21">
        <v>151400</v>
      </c>
      <c r="AK5" s="21"/>
      <c r="AL5" s="21"/>
      <c r="AM5" s="22">
        <f>SUM(AJ5,AH5,AL5,AI5,AK5,AG5)</f>
        <v>623221</v>
      </c>
      <c r="AP5" s="21"/>
      <c r="AQ5" s="21"/>
      <c r="AR5" s="21"/>
      <c r="AV5" s="24">
        <f>SUM(AP5,AQ5,AR5,AS5,AT5,AU5,AB5)</f>
        <v>0</v>
      </c>
      <c r="AY5" s="21">
        <f>SUM(AD5,AM5,AV5,BA5)</f>
        <v>4422799.716</v>
      </c>
      <c r="AZ5" s="21">
        <f>100.84*BD5</f>
        <v>307372.42080000002</v>
      </c>
      <c r="BA5" s="21">
        <f>(AD5+AM5+AV5)*0.004</f>
        <v>17620.716</v>
      </c>
      <c r="BB5" s="21">
        <f>AZ5*0.19</f>
        <v>58400.759952000008</v>
      </c>
      <c r="BC5" s="21">
        <f>SUM(AY5,AZ5,BB5)</f>
        <v>4788572.8967520008</v>
      </c>
      <c r="BD5" s="25">
        <v>3048.12</v>
      </c>
      <c r="BE5" s="26">
        <f>ROUND(AY5/BD5,2)</f>
        <v>1450.99</v>
      </c>
      <c r="BF5" s="26">
        <f>ROUND(AZ5/BD5,2)</f>
        <v>100.84</v>
      </c>
      <c r="BG5" s="26">
        <f>ROUND(BB5/BD5,2)</f>
        <v>19.16</v>
      </c>
      <c r="BH5" s="26">
        <f>SUM(BE5,BF5,BG5)</f>
        <v>1570.99</v>
      </c>
      <c r="BK5" s="1" t="s">
        <v>68</v>
      </c>
    </row>
    <row r="6" spans="1:63" ht="15">
      <c r="K6" s="28">
        <f t="shared" ref="K6:AD6" si="0">SUM(K4:K5)</f>
        <v>10738208</v>
      </c>
      <c r="L6" s="28">
        <f t="shared" si="0"/>
        <v>0</v>
      </c>
      <c r="M6" s="28">
        <f t="shared" si="0"/>
        <v>0</v>
      </c>
      <c r="N6" s="28">
        <f t="shared" si="0"/>
        <v>0</v>
      </c>
      <c r="O6" s="28">
        <f t="shared" si="0"/>
        <v>0</v>
      </c>
      <c r="P6" s="28">
        <f t="shared" si="0"/>
        <v>0</v>
      </c>
      <c r="Q6" s="28">
        <f t="shared" si="0"/>
        <v>0</v>
      </c>
      <c r="R6" s="28">
        <f t="shared" si="0"/>
        <v>0</v>
      </c>
      <c r="S6" s="28">
        <f t="shared" si="0"/>
        <v>0</v>
      </c>
      <c r="T6" s="28">
        <f t="shared" si="0"/>
        <v>0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0</v>
      </c>
      <c r="AD6" s="28">
        <f t="shared" si="0"/>
        <v>10738208</v>
      </c>
      <c r="AG6" s="28">
        <f t="shared" ref="AG6:AM6" si="1">SUM(AG4:AG5)</f>
        <v>1288771</v>
      </c>
      <c r="AH6" s="28">
        <f t="shared" si="1"/>
        <v>0</v>
      </c>
      <c r="AI6" s="28">
        <f t="shared" si="1"/>
        <v>54200</v>
      </c>
      <c r="AJ6" s="28">
        <f t="shared" si="1"/>
        <v>429700</v>
      </c>
      <c r="AK6" s="28">
        <f t="shared" si="1"/>
        <v>0</v>
      </c>
      <c r="AL6" s="28">
        <f t="shared" si="1"/>
        <v>0</v>
      </c>
      <c r="AM6" s="28">
        <f t="shared" si="1"/>
        <v>1772671</v>
      </c>
      <c r="AP6" s="28">
        <f t="shared" ref="AP6:AV6" si="2">SUM(AP4:AP5)</f>
        <v>0</v>
      </c>
      <c r="AQ6" s="28">
        <f t="shared" si="2"/>
        <v>0</v>
      </c>
      <c r="AR6" s="28">
        <f t="shared" si="2"/>
        <v>0</v>
      </c>
      <c r="AS6" s="28">
        <f t="shared" si="2"/>
        <v>0</v>
      </c>
      <c r="AT6" s="28">
        <f t="shared" si="2"/>
        <v>0</v>
      </c>
      <c r="AU6" s="28">
        <f t="shared" si="2"/>
        <v>0</v>
      </c>
      <c r="AV6" s="28">
        <f t="shared" si="2"/>
        <v>0</v>
      </c>
      <c r="AY6" s="28">
        <f>SUM(AY4:AY5)</f>
        <v>12560922.515999999</v>
      </c>
      <c r="AZ6" s="28">
        <f>SUM(AZ4:AZ5)</f>
        <v>614744.84160000004</v>
      </c>
      <c r="BA6" s="28">
        <f>SUM(BA4:BA5)</f>
        <v>50043.516000000003</v>
      </c>
      <c r="BB6" s="28">
        <f>SUM(BB4:BB5)</f>
        <v>116801.51990400002</v>
      </c>
      <c r="BC6" s="28">
        <f>SUM(BC4:BC5)</f>
        <v>13292468.877503999</v>
      </c>
      <c r="BE6" s="29">
        <f>SUM(BE4:BE5)</f>
        <v>4120.87</v>
      </c>
      <c r="BF6" s="29">
        <f>SUM(BF4:BF5)</f>
        <v>201.68</v>
      </c>
      <c r="BG6" s="29">
        <f>SUM(BG4:BG5)</f>
        <v>38.32</v>
      </c>
      <c r="BH6" s="29">
        <f>SUM(BH4:BH5)</f>
        <v>4360.87</v>
      </c>
    </row>
    <row r="7" spans="1:63" ht="15">
      <c r="A7" s="30"/>
      <c r="P7" s="31"/>
    </row>
  </sheetData>
  <mergeCells count="3">
    <mergeCell ref="AG2:AM2"/>
    <mergeCell ref="AP2:AV2"/>
    <mergeCell ref="AY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Viviana Guzman</cp:lastModifiedBy>
  <cp:revision/>
  <dcterms:created xsi:type="dcterms:W3CDTF">2026-03-04T15:02:48Z</dcterms:created>
  <dcterms:modified xsi:type="dcterms:W3CDTF">2026-08-24T17:25:23Z</dcterms:modified>
  <cp:category/>
  <cp:contentStatus/>
</cp:coreProperties>
</file>